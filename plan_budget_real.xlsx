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YECTOS\Proyecto_Plan_Minero\"/>
    </mc:Choice>
  </mc:AlternateContent>
  <xr:revisionPtr revIDLastSave="0" documentId="13_ncr:1_{464D6214-9442-4009-820D-2877387422D4}" xr6:coauthVersionLast="47" xr6:coauthVersionMax="47" xr10:uidLastSave="{00000000-0000-0000-0000-000000000000}"/>
  <bookViews>
    <workbookView xWindow="-28920" yWindow="-765" windowWidth="29040" windowHeight="15720" xr2:uid="{00000000-000D-0000-FFFF-FFFF00000000}"/>
  </bookViews>
  <sheets>
    <sheet name="Planta" sheetId="1" r:id="rId1"/>
    <sheet name="Data Tecnica" sheetId="17" r:id="rId2"/>
    <sheet name="KPI-Palas" sheetId="18" r:id="rId3"/>
    <sheet name="KPI-Camiones" sheetId="20" r:id="rId4"/>
    <sheet name="Pala-Fase" sheetId="28" r:id="rId5"/>
    <sheet name="Fase-Banco" sheetId="31" r:id="rId6"/>
    <sheet name="KPI-Perfos" sheetId="21" r:id="rId7"/>
    <sheet name="KPI-Servicios" sheetId="22" r:id="rId8"/>
    <sheet name="Envios Desglosados por Fases" sheetId="27" r:id="rId9"/>
    <sheet name="Distancias Por Tramos" sheetId="29" r:id="rId10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1" l="1"/>
  <c r="A58" i="21"/>
  <c r="O3" i="21"/>
  <c r="AB3" i="21"/>
  <c r="AG3" i="21"/>
  <c r="O4" i="21"/>
  <c r="AB4" i="21"/>
  <c r="AG4" i="21"/>
  <c r="C5" i="21"/>
  <c r="C18" i="21" s="1"/>
  <c r="D5" i="21"/>
  <c r="D20" i="21" s="1"/>
  <c r="E5" i="21"/>
  <c r="F5" i="21"/>
  <c r="F18" i="21" s="1"/>
  <c r="G5" i="21"/>
  <c r="G20" i="21" s="1"/>
  <c r="H5" i="21"/>
  <c r="H53" i="21" s="1"/>
  <c r="I5" i="21"/>
  <c r="I20" i="21" s="1"/>
  <c r="J5" i="21"/>
  <c r="J53" i="21" s="1"/>
  <c r="K5" i="21"/>
  <c r="K19" i="21" s="1"/>
  <c r="L5" i="21"/>
  <c r="L20" i="21" s="1"/>
  <c r="M5" i="21"/>
  <c r="M19" i="21" s="1"/>
  <c r="N5" i="21"/>
  <c r="N19" i="21" s="1"/>
  <c r="P5" i="21"/>
  <c r="P53" i="21" s="1"/>
  <c r="Q5" i="21"/>
  <c r="R5" i="21"/>
  <c r="R18" i="21" s="1"/>
  <c r="S5" i="21"/>
  <c r="S54" i="21" s="1"/>
  <c r="T5" i="21"/>
  <c r="T18" i="21" s="1"/>
  <c r="U5" i="21"/>
  <c r="U18" i="21" s="1"/>
  <c r="V5" i="21"/>
  <c r="V53" i="21" s="1"/>
  <c r="W5" i="21"/>
  <c r="W20" i="21" s="1"/>
  <c r="X5" i="21"/>
  <c r="X19" i="21" s="1"/>
  <c r="Y5" i="21"/>
  <c r="Y20" i="21" s="1"/>
  <c r="Z5" i="21"/>
  <c r="Z19" i="21" s="1"/>
  <c r="AA5" i="21"/>
  <c r="AA18" i="21" s="1"/>
  <c r="AC5" i="21"/>
  <c r="AC19" i="21" s="1"/>
  <c r="AD5" i="21"/>
  <c r="AD19" i="21" s="1"/>
  <c r="AE5" i="21"/>
  <c r="AE53" i="21" s="1"/>
  <c r="AF5" i="21"/>
  <c r="AH5" i="21"/>
  <c r="AH18" i="21" s="1"/>
  <c r="Z18" i="21"/>
  <c r="I19" i="21"/>
  <c r="P19" i="21"/>
  <c r="R19" i="21"/>
  <c r="T19" i="21"/>
  <c r="V19" i="21"/>
  <c r="R20" i="21"/>
  <c r="C26" i="21"/>
  <c r="D26" i="21"/>
  <c r="D30" i="21" s="1"/>
  <c r="E26" i="21"/>
  <c r="F26" i="21"/>
  <c r="F30" i="21" s="1"/>
  <c r="G26" i="21"/>
  <c r="G30" i="21" s="1"/>
  <c r="H26" i="21"/>
  <c r="H30" i="21" s="1"/>
  <c r="I26" i="21"/>
  <c r="I30" i="21" s="1"/>
  <c r="J26" i="21"/>
  <c r="J30" i="21" s="1"/>
  <c r="K26" i="21"/>
  <c r="K30" i="21" s="1"/>
  <c r="L26" i="21"/>
  <c r="M26" i="21"/>
  <c r="M30" i="21" s="1"/>
  <c r="N26" i="21"/>
  <c r="N30" i="21" s="1"/>
  <c r="P26" i="21"/>
  <c r="P30" i="21" s="1"/>
  <c r="Q26" i="21"/>
  <c r="R26" i="21"/>
  <c r="R30" i="21" s="1"/>
  <c r="S26" i="21"/>
  <c r="S30" i="21" s="1"/>
  <c r="T26" i="21"/>
  <c r="U26" i="21"/>
  <c r="U30" i="21" s="1"/>
  <c r="V26" i="21"/>
  <c r="V30" i="21" s="1"/>
  <c r="W26" i="21"/>
  <c r="W30" i="21" s="1"/>
  <c r="X26" i="21"/>
  <c r="X30" i="21" s="1"/>
  <c r="Y26" i="21"/>
  <c r="Y30" i="21" s="1"/>
  <c r="Z26" i="21"/>
  <c r="Z30" i="21" s="1"/>
  <c r="AA26" i="21"/>
  <c r="AA30" i="21" s="1"/>
  <c r="AC26" i="21"/>
  <c r="AD26" i="21"/>
  <c r="AE26" i="21"/>
  <c r="AE30" i="21" s="1"/>
  <c r="AF26" i="21"/>
  <c r="AF30" i="21" s="1"/>
  <c r="AH26" i="21"/>
  <c r="AH30" i="21" s="1"/>
  <c r="C27" i="21"/>
  <c r="D27" i="21"/>
  <c r="D31" i="21" s="1"/>
  <c r="E27" i="21"/>
  <c r="F27" i="21"/>
  <c r="F31" i="21" s="1"/>
  <c r="G27" i="21"/>
  <c r="G31" i="21" s="1"/>
  <c r="H27" i="21"/>
  <c r="H31" i="21" s="1"/>
  <c r="I27" i="21"/>
  <c r="I31" i="21" s="1"/>
  <c r="J27" i="21"/>
  <c r="K27" i="21"/>
  <c r="K31" i="21" s="1"/>
  <c r="L27" i="21"/>
  <c r="L31" i="21" s="1"/>
  <c r="M27" i="21"/>
  <c r="M31" i="21" s="1"/>
  <c r="N27" i="21"/>
  <c r="N31" i="21" s="1"/>
  <c r="P27" i="21"/>
  <c r="P31" i="21" s="1"/>
  <c r="Q27" i="21"/>
  <c r="R27" i="21"/>
  <c r="R31" i="21" s="1"/>
  <c r="S27" i="21"/>
  <c r="S31" i="21" s="1"/>
  <c r="T27" i="21"/>
  <c r="T31" i="21" s="1"/>
  <c r="U27" i="21"/>
  <c r="V27" i="21"/>
  <c r="V31" i="21" s="1"/>
  <c r="W27" i="21"/>
  <c r="W31" i="21" s="1"/>
  <c r="X27" i="21"/>
  <c r="X31" i="21" s="1"/>
  <c r="Y27" i="21"/>
  <c r="Y31" i="21" s="1"/>
  <c r="Z27" i="21"/>
  <c r="Z31" i="21" s="1"/>
  <c r="AA27" i="21"/>
  <c r="AA31" i="21" s="1"/>
  <c r="AC27" i="21"/>
  <c r="AC31" i="21" s="1"/>
  <c r="AD27" i="21"/>
  <c r="AD31" i="21" s="1"/>
  <c r="AE27" i="21"/>
  <c r="AE31" i="21" s="1"/>
  <c r="AF27" i="21"/>
  <c r="AF31" i="21" s="1"/>
  <c r="AH27" i="21"/>
  <c r="C28" i="21"/>
  <c r="C32" i="21" s="1"/>
  <c r="D28" i="21"/>
  <c r="D32" i="21" s="1"/>
  <c r="E28" i="21"/>
  <c r="F28" i="21"/>
  <c r="G28" i="21"/>
  <c r="G32" i="21" s="1"/>
  <c r="H28" i="21"/>
  <c r="H32" i="21" s="1"/>
  <c r="I28" i="21"/>
  <c r="I32" i="21" s="1"/>
  <c r="J28" i="21"/>
  <c r="J32" i="21" s="1"/>
  <c r="K28" i="21"/>
  <c r="K32" i="21" s="1"/>
  <c r="L28" i="21"/>
  <c r="L32" i="21" s="1"/>
  <c r="M28" i="21"/>
  <c r="M32" i="21" s="1"/>
  <c r="N28" i="21"/>
  <c r="N32" i="21" s="1"/>
  <c r="P28" i="21"/>
  <c r="P32" i="21" s="1"/>
  <c r="Q28" i="21"/>
  <c r="Q32" i="21" s="1"/>
  <c r="R28" i="21"/>
  <c r="R32" i="21" s="1"/>
  <c r="S28" i="21"/>
  <c r="T28" i="21"/>
  <c r="T32" i="21" s="1"/>
  <c r="U28" i="21"/>
  <c r="V28" i="21"/>
  <c r="V32" i="21" s="1"/>
  <c r="W28" i="21"/>
  <c r="X28" i="21"/>
  <c r="Y28" i="21"/>
  <c r="Z28" i="21"/>
  <c r="Z32" i="21" s="1"/>
  <c r="AA28" i="21"/>
  <c r="AA32" i="21" s="1"/>
  <c r="AC28" i="21"/>
  <c r="AD28" i="21"/>
  <c r="AD32" i="21" s="1"/>
  <c r="AE28" i="21"/>
  <c r="AE32" i="21" s="1"/>
  <c r="AF28" i="21"/>
  <c r="AF32" i="21" s="1"/>
  <c r="AH28" i="21"/>
  <c r="AH32" i="21" s="1"/>
  <c r="C30" i="21"/>
  <c r="L30" i="21"/>
  <c r="T30" i="21"/>
  <c r="AD30" i="21"/>
  <c r="C31" i="21"/>
  <c r="J31" i="21"/>
  <c r="Q31" i="21"/>
  <c r="U31" i="21"/>
  <c r="AH31" i="21"/>
  <c r="F32" i="21"/>
  <c r="S32" i="21"/>
  <c r="U32" i="21"/>
  <c r="W32" i="21"/>
  <c r="X32" i="21"/>
  <c r="Y32" i="21"/>
  <c r="O37" i="21"/>
  <c r="AB37" i="21"/>
  <c r="AG37" i="21"/>
  <c r="O38" i="21"/>
  <c r="AB38" i="21"/>
  <c r="AG38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C39" i="21"/>
  <c r="AD39" i="21"/>
  <c r="AE39" i="21"/>
  <c r="AF39" i="21"/>
  <c r="AH39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C43" i="21"/>
  <c r="AD43" i="21"/>
  <c r="AE43" i="21"/>
  <c r="AF43" i="21"/>
  <c r="AH43" i="21"/>
  <c r="I52" i="21"/>
  <c r="L52" i="21"/>
  <c r="M52" i="21"/>
  <c r="Q52" i="21"/>
  <c r="R52" i="21"/>
  <c r="S52" i="21"/>
  <c r="V52" i="21"/>
  <c r="Z52" i="21"/>
  <c r="AF52" i="21"/>
  <c r="C53" i="21"/>
  <c r="D53" i="21"/>
  <c r="I53" i="21"/>
  <c r="K53" i="21"/>
  <c r="R53" i="21"/>
  <c r="S53" i="21"/>
  <c r="AA53" i="21"/>
  <c r="AH53" i="21"/>
  <c r="C54" i="21"/>
  <c r="G54" i="21"/>
  <c r="N54" i="21"/>
  <c r="P54" i="21"/>
  <c r="Q54" i="21"/>
  <c r="R54" i="21"/>
  <c r="V54" i="21"/>
  <c r="A56" i="21"/>
  <c r="C60" i="21"/>
  <c r="D60" i="21"/>
  <c r="E60" i="21"/>
  <c r="E64" i="21" s="1"/>
  <c r="E67" i="21" s="1"/>
  <c r="F60" i="21"/>
  <c r="F64" i="21" s="1"/>
  <c r="F67" i="21" s="1"/>
  <c r="G60" i="21"/>
  <c r="G64" i="21" s="1"/>
  <c r="H60" i="21"/>
  <c r="H64" i="21" s="1"/>
  <c r="I60" i="21"/>
  <c r="I64" i="21" s="1"/>
  <c r="J60" i="21"/>
  <c r="J64" i="21" s="1"/>
  <c r="K60" i="21"/>
  <c r="K64" i="21" s="1"/>
  <c r="L60" i="21"/>
  <c r="L64" i="21" s="1"/>
  <c r="M60" i="21"/>
  <c r="M64" i="21" s="1"/>
  <c r="N60" i="21"/>
  <c r="N64" i="21" s="1"/>
  <c r="P60" i="21"/>
  <c r="Q60" i="21"/>
  <c r="Q64" i="21" s="1"/>
  <c r="R60" i="21"/>
  <c r="S60" i="21"/>
  <c r="S64" i="21" s="1"/>
  <c r="T60" i="21"/>
  <c r="T64" i="21" s="1"/>
  <c r="U60" i="21"/>
  <c r="U64" i="21" s="1"/>
  <c r="V60" i="21"/>
  <c r="V64" i="21" s="1"/>
  <c r="W60" i="21"/>
  <c r="W64" i="21" s="1"/>
  <c r="X60" i="21"/>
  <c r="Y60" i="21"/>
  <c r="Y64" i="21" s="1"/>
  <c r="Z60" i="21"/>
  <c r="Z64" i="21" s="1"/>
  <c r="AA60" i="21"/>
  <c r="AA64" i="21" s="1"/>
  <c r="AC60" i="21"/>
  <c r="AC64" i="21" s="1"/>
  <c r="AD60" i="21"/>
  <c r="AE60" i="21"/>
  <c r="AF60" i="21"/>
  <c r="AF64" i="21" s="1"/>
  <c r="AH60" i="21"/>
  <c r="C61" i="21"/>
  <c r="C65" i="21" s="1"/>
  <c r="D61" i="21"/>
  <c r="E61" i="21"/>
  <c r="E65" i="21" s="1"/>
  <c r="F61" i="21"/>
  <c r="G61" i="21"/>
  <c r="H61" i="21"/>
  <c r="H65" i="21" s="1"/>
  <c r="I61" i="21"/>
  <c r="I65" i="21" s="1"/>
  <c r="J61" i="21"/>
  <c r="K61" i="21"/>
  <c r="K65" i="21" s="1"/>
  <c r="L61" i="21"/>
  <c r="L65" i="21" s="1"/>
  <c r="M61" i="21"/>
  <c r="N61" i="21"/>
  <c r="N65" i="21" s="1"/>
  <c r="P61" i="21"/>
  <c r="Q61" i="21"/>
  <c r="Q65" i="21" s="1"/>
  <c r="R61" i="21"/>
  <c r="R65" i="21" s="1"/>
  <c r="S61" i="21"/>
  <c r="S65" i="21" s="1"/>
  <c r="T61" i="21"/>
  <c r="T65" i="21" s="1"/>
  <c r="U61" i="21"/>
  <c r="V61" i="21"/>
  <c r="V65" i="21" s="1"/>
  <c r="W61" i="21"/>
  <c r="W65" i="21" s="1"/>
  <c r="X61" i="21"/>
  <c r="X65" i="21" s="1"/>
  <c r="Y61" i="21"/>
  <c r="Y65" i="21" s="1"/>
  <c r="Y67" i="21" s="1"/>
  <c r="Z61" i="21"/>
  <c r="Z65" i="21" s="1"/>
  <c r="AA61" i="21"/>
  <c r="AC61" i="21"/>
  <c r="AC65" i="21" s="1"/>
  <c r="AD61" i="21"/>
  <c r="AE61" i="21"/>
  <c r="AE65" i="21" s="1"/>
  <c r="AF61" i="21"/>
  <c r="AF65" i="21" s="1"/>
  <c r="AH61" i="21"/>
  <c r="AH65" i="21" s="1"/>
  <c r="C62" i="21"/>
  <c r="D62" i="21"/>
  <c r="D66" i="21" s="1"/>
  <c r="E62" i="21"/>
  <c r="E66" i="21" s="1"/>
  <c r="F62" i="21"/>
  <c r="F66" i="21" s="1"/>
  <c r="G62" i="21"/>
  <c r="G66" i="21" s="1"/>
  <c r="H62" i="21"/>
  <c r="H66" i="21" s="1"/>
  <c r="I62" i="21"/>
  <c r="J62" i="21"/>
  <c r="J66" i="21" s="1"/>
  <c r="K62" i="21"/>
  <c r="K66" i="21" s="1"/>
  <c r="L62" i="21"/>
  <c r="L66" i="21" s="1"/>
  <c r="M62" i="21"/>
  <c r="M66" i="21" s="1"/>
  <c r="N62" i="21"/>
  <c r="N66" i="21" s="1"/>
  <c r="P62" i="21"/>
  <c r="Q62" i="21"/>
  <c r="Q66" i="21" s="1"/>
  <c r="R62" i="21"/>
  <c r="R66" i="21" s="1"/>
  <c r="S62" i="21"/>
  <c r="S66" i="21" s="1"/>
  <c r="T62" i="21"/>
  <c r="U62" i="21"/>
  <c r="U66" i="21" s="1"/>
  <c r="V62" i="21"/>
  <c r="V66" i="21" s="1"/>
  <c r="W62" i="21"/>
  <c r="W66" i="21" s="1"/>
  <c r="X62" i="21"/>
  <c r="Y62" i="21"/>
  <c r="Y66" i="21" s="1"/>
  <c r="Z62" i="21"/>
  <c r="Z66" i="21" s="1"/>
  <c r="AA62" i="21"/>
  <c r="AA66" i="21" s="1"/>
  <c r="AC62" i="21"/>
  <c r="AD62" i="21"/>
  <c r="AG62" i="21" s="1"/>
  <c r="AE62" i="21"/>
  <c r="AF62" i="21"/>
  <c r="AH62" i="21"/>
  <c r="AH66" i="21" s="1"/>
  <c r="C64" i="21"/>
  <c r="D64" i="21"/>
  <c r="R64" i="21"/>
  <c r="X64" i="21"/>
  <c r="AE64" i="21"/>
  <c r="AH64" i="21"/>
  <c r="D65" i="21"/>
  <c r="F65" i="21"/>
  <c r="G65" i="21"/>
  <c r="J65" i="21"/>
  <c r="M65" i="21"/>
  <c r="U65" i="21"/>
  <c r="AA65" i="21"/>
  <c r="C66" i="21"/>
  <c r="I66" i="21"/>
  <c r="T66" i="21"/>
  <c r="X66" i="21"/>
  <c r="AC66" i="21"/>
  <c r="AE66" i="21"/>
  <c r="AF66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G21" i="1"/>
  <c r="AF21" i="1"/>
  <c r="AE21" i="1"/>
  <c r="AD21" i="1"/>
  <c r="AH14" i="1"/>
  <c r="AH21" i="1" s="1"/>
  <c r="AA21" i="1"/>
  <c r="Z21" i="1"/>
  <c r="Y21" i="1"/>
  <c r="X21" i="1"/>
  <c r="W21" i="1"/>
  <c r="V21" i="1"/>
  <c r="U21" i="1"/>
  <c r="T21" i="1"/>
  <c r="S21" i="1"/>
  <c r="R21" i="1"/>
  <c r="Q21" i="1"/>
  <c r="AB21" i="1"/>
  <c r="AI55" i="22"/>
  <c r="AG55" i="22"/>
  <c r="AF55" i="22"/>
  <c r="AE55" i="22"/>
  <c r="AD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AI54" i="22"/>
  <c r="AG54" i="22"/>
  <c r="AF54" i="22"/>
  <c r="AE54" i="22"/>
  <c r="AD54" i="22"/>
  <c r="AB54" i="22"/>
  <c r="AA54" i="22"/>
  <c r="Z54" i="22"/>
  <c r="Y54" i="22"/>
  <c r="X54" i="22"/>
  <c r="W54" i="22"/>
  <c r="V54" i="22"/>
  <c r="U54" i="22"/>
  <c r="T54" i="22"/>
  <c r="S54" i="22"/>
  <c r="R54" i="22"/>
  <c r="AC54" i="22" s="1"/>
  <c r="Q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AI53" i="22"/>
  <c r="AG53" i="22"/>
  <c r="AF53" i="22"/>
  <c r="AE53" i="22"/>
  <c r="AD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O53" i="22"/>
  <c r="N53" i="22"/>
  <c r="M53" i="22"/>
  <c r="L53" i="22"/>
  <c r="K53" i="22"/>
  <c r="J53" i="22"/>
  <c r="I53" i="22"/>
  <c r="H53" i="22"/>
  <c r="G53" i="22"/>
  <c r="F53" i="22"/>
  <c r="P53" i="22" s="1"/>
  <c r="E53" i="22"/>
  <c r="D53" i="22"/>
  <c r="AI52" i="22"/>
  <c r="AG52" i="22"/>
  <c r="AF52" i="22"/>
  <c r="AE52" i="22"/>
  <c r="AD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AI51" i="22"/>
  <c r="AG51" i="22"/>
  <c r="AF51" i="22"/>
  <c r="AE51" i="22"/>
  <c r="AD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AI50" i="22"/>
  <c r="AG50" i="22"/>
  <c r="AF50" i="22"/>
  <c r="AE50" i="22"/>
  <c r="AD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AC50" i="22" s="1"/>
  <c r="O50" i="22"/>
  <c r="N50" i="22"/>
  <c r="M50" i="22"/>
  <c r="L50" i="22"/>
  <c r="K50" i="22"/>
  <c r="J50" i="22"/>
  <c r="I50" i="22"/>
  <c r="H50" i="22"/>
  <c r="G50" i="22"/>
  <c r="F50" i="22"/>
  <c r="E50" i="22"/>
  <c r="D50" i="22"/>
  <c r="AI49" i="22"/>
  <c r="AG49" i="22"/>
  <c r="AF49" i="22"/>
  <c r="AE49" i="22"/>
  <c r="AD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O49" i="22"/>
  <c r="N49" i="22"/>
  <c r="M49" i="22"/>
  <c r="L49" i="22"/>
  <c r="K49" i="22"/>
  <c r="J49" i="22"/>
  <c r="I49" i="22"/>
  <c r="H49" i="22"/>
  <c r="G49" i="22"/>
  <c r="F49" i="22"/>
  <c r="E49" i="22"/>
  <c r="P49" i="22" s="1"/>
  <c r="D49" i="22"/>
  <c r="AI48" i="22"/>
  <c r="AG48" i="22"/>
  <c r="AF48" i="22"/>
  <c r="AE48" i="22"/>
  <c r="AD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AI47" i="22"/>
  <c r="AG47" i="22"/>
  <c r="AF47" i="22"/>
  <c r="AE47" i="22"/>
  <c r="AD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AI46" i="22"/>
  <c r="AG46" i="22"/>
  <c r="AF46" i="22"/>
  <c r="AE46" i="22"/>
  <c r="AD46" i="22"/>
  <c r="AB46" i="22"/>
  <c r="AA46" i="22"/>
  <c r="Z46" i="22"/>
  <c r="Y46" i="22"/>
  <c r="X46" i="22"/>
  <c r="W46" i="22"/>
  <c r="V46" i="22"/>
  <c r="U46" i="22"/>
  <c r="T46" i="22"/>
  <c r="S46" i="22"/>
  <c r="R46" i="22"/>
  <c r="AC46" i="22" s="1"/>
  <c r="Q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AI45" i="22"/>
  <c r="AG45" i="22"/>
  <c r="AF45" i="22"/>
  <c r="AE45" i="22"/>
  <c r="AD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P45" i="22" s="1"/>
  <c r="AI19" i="22"/>
  <c r="AG19" i="22"/>
  <c r="AF19" i="22"/>
  <c r="AE19" i="22"/>
  <c r="AD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AI6" i="22"/>
  <c r="AG6" i="22"/>
  <c r="AF6" i="22"/>
  <c r="AE6" i="22"/>
  <c r="AD6" i="22"/>
  <c r="AH28" i="22" s="1"/>
  <c r="AB6" i="22"/>
  <c r="AA6" i="22"/>
  <c r="Z6" i="22"/>
  <c r="Y6" i="22"/>
  <c r="X6" i="22"/>
  <c r="W6" i="22"/>
  <c r="V6" i="22"/>
  <c r="U6" i="22"/>
  <c r="T6" i="22"/>
  <c r="S6" i="22"/>
  <c r="R6" i="22"/>
  <c r="Q6" i="22"/>
  <c r="O6" i="22"/>
  <c r="N6" i="22"/>
  <c r="M6" i="22"/>
  <c r="L6" i="22"/>
  <c r="K6" i="22"/>
  <c r="J6" i="22"/>
  <c r="I6" i="22"/>
  <c r="H6" i="22"/>
  <c r="G6" i="22"/>
  <c r="F6" i="22"/>
  <c r="E6" i="22"/>
  <c r="D6" i="22"/>
  <c r="AH5" i="22"/>
  <c r="AC5" i="22"/>
  <c r="P5" i="22"/>
  <c r="AH4" i="22"/>
  <c r="AC4" i="22"/>
  <c r="P4" i="22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AG32" i="18"/>
  <c r="AA32" i="18"/>
  <c r="U32" i="18"/>
  <c r="O32" i="18"/>
  <c r="I32" i="18"/>
  <c r="AG31" i="18"/>
  <c r="AA31" i="18"/>
  <c r="U31" i="18"/>
  <c r="O31" i="18"/>
  <c r="I31" i="18"/>
  <c r="AG30" i="18"/>
  <c r="AA30" i="18"/>
  <c r="U30" i="18"/>
  <c r="O30" i="18"/>
  <c r="I30" i="18"/>
  <c r="AG29" i="18"/>
  <c r="AA29" i="18"/>
  <c r="U29" i="18"/>
  <c r="O29" i="18"/>
  <c r="I29" i="18"/>
  <c r="AG28" i="18"/>
  <c r="AA28" i="18"/>
  <c r="U28" i="18"/>
  <c r="O28" i="18"/>
  <c r="I28" i="18"/>
  <c r="AG27" i="18"/>
  <c r="AA27" i="18"/>
  <c r="U27" i="18"/>
  <c r="O27" i="18"/>
  <c r="I27" i="18"/>
  <c r="AG26" i="18"/>
  <c r="AA26" i="18"/>
  <c r="U26" i="18"/>
  <c r="O26" i="18"/>
  <c r="I26" i="18"/>
  <c r="AG25" i="18"/>
  <c r="AA25" i="18"/>
  <c r="U25" i="18"/>
  <c r="O25" i="18"/>
  <c r="I25" i="18"/>
  <c r="AG24" i="18"/>
  <c r="AA24" i="18"/>
  <c r="U24" i="18"/>
  <c r="O24" i="18"/>
  <c r="I24" i="18"/>
  <c r="AG23" i="18"/>
  <c r="AA23" i="18"/>
  <c r="U23" i="18"/>
  <c r="O23" i="18"/>
  <c r="I23" i="18"/>
  <c r="AG22" i="18"/>
  <c r="AA22" i="18"/>
  <c r="U22" i="18"/>
  <c r="O22" i="18"/>
  <c r="I22" i="18"/>
  <c r="AG21" i="18"/>
  <c r="AA21" i="18"/>
  <c r="U21" i="18"/>
  <c r="O21" i="18"/>
  <c r="I21" i="18"/>
  <c r="AG20" i="18"/>
  <c r="AA20" i="18"/>
  <c r="U20" i="18"/>
  <c r="O20" i="18"/>
  <c r="I20" i="18"/>
  <c r="AG19" i="18"/>
  <c r="AA19" i="18"/>
  <c r="U19" i="18"/>
  <c r="O19" i="18"/>
  <c r="I19" i="18"/>
  <c r="AG18" i="18"/>
  <c r="AA18" i="18"/>
  <c r="U18" i="18"/>
  <c r="O18" i="18"/>
  <c r="I18" i="18"/>
  <c r="AG17" i="18"/>
  <c r="AA17" i="18"/>
  <c r="U17" i="18"/>
  <c r="O17" i="18"/>
  <c r="I17" i="18"/>
  <c r="AG16" i="18"/>
  <c r="AA16" i="18"/>
  <c r="U16" i="18"/>
  <c r="O16" i="18"/>
  <c r="I16" i="18"/>
  <c r="AG15" i="18"/>
  <c r="AA15" i="18"/>
  <c r="U15" i="18"/>
  <c r="O15" i="18"/>
  <c r="I15" i="18"/>
  <c r="AG14" i="18"/>
  <c r="AA14" i="18"/>
  <c r="U14" i="18"/>
  <c r="O14" i="18"/>
  <c r="I14" i="18"/>
  <c r="AG13" i="18"/>
  <c r="AA13" i="18"/>
  <c r="U13" i="18"/>
  <c r="O13" i="18"/>
  <c r="I13" i="18"/>
  <c r="AG12" i="18"/>
  <c r="AA12" i="18"/>
  <c r="U12" i="18"/>
  <c r="O12" i="18"/>
  <c r="I12" i="18"/>
  <c r="AG11" i="18"/>
  <c r="AA11" i="18"/>
  <c r="U11" i="18"/>
  <c r="O11" i="18"/>
  <c r="I11" i="18"/>
  <c r="AG10" i="18"/>
  <c r="AA10" i="18"/>
  <c r="U10" i="18"/>
  <c r="O10" i="18"/>
  <c r="I10" i="18"/>
  <c r="AG9" i="18"/>
  <c r="AA9" i="18"/>
  <c r="U9" i="18"/>
  <c r="O9" i="18"/>
  <c r="I9" i="18"/>
  <c r="AG8" i="18"/>
  <c r="AA8" i="18"/>
  <c r="U8" i="18"/>
  <c r="O8" i="18"/>
  <c r="I8" i="18"/>
  <c r="AG7" i="18"/>
  <c r="AA7" i="18"/>
  <c r="U7" i="18"/>
  <c r="O7" i="18"/>
  <c r="I7" i="18"/>
  <c r="AG6" i="18"/>
  <c r="AA6" i="18"/>
  <c r="U6" i="18"/>
  <c r="O6" i="18"/>
  <c r="I6" i="18"/>
  <c r="AG5" i="18"/>
  <c r="AA5" i="18"/>
  <c r="U5" i="18"/>
  <c r="O5" i="18"/>
  <c r="I5" i="18"/>
  <c r="AG4" i="18"/>
  <c r="AA4" i="18"/>
  <c r="U4" i="18"/>
  <c r="O4" i="18"/>
  <c r="I4" i="18"/>
  <c r="AC21" i="1" l="1"/>
  <c r="M33" i="21"/>
  <c r="AC67" i="21"/>
  <c r="AG61" i="21"/>
  <c r="G53" i="21"/>
  <c r="G52" i="21"/>
  <c r="F52" i="21"/>
  <c r="L54" i="21"/>
  <c r="I54" i="21"/>
  <c r="W33" i="21"/>
  <c r="F33" i="21"/>
  <c r="L19" i="21"/>
  <c r="C33" i="21"/>
  <c r="AA33" i="21"/>
  <c r="U67" i="21"/>
  <c r="X18" i="21"/>
  <c r="AD53" i="21"/>
  <c r="X52" i="21"/>
  <c r="Z20" i="21"/>
  <c r="W18" i="21"/>
  <c r="AD52" i="21"/>
  <c r="AD54" i="21"/>
  <c r="Z53" i="21"/>
  <c r="T52" i="21"/>
  <c r="V20" i="21"/>
  <c r="P18" i="21"/>
  <c r="V18" i="21"/>
  <c r="Z54" i="21"/>
  <c r="X53" i="21"/>
  <c r="S33" i="21"/>
  <c r="I18" i="21"/>
  <c r="X20" i="21"/>
  <c r="X54" i="21"/>
  <c r="P20" i="21"/>
  <c r="G18" i="21"/>
  <c r="D67" i="21"/>
  <c r="T54" i="21"/>
  <c r="P52" i="21"/>
  <c r="F20" i="21"/>
  <c r="W67" i="21"/>
  <c r="L53" i="21"/>
  <c r="K67" i="21"/>
  <c r="AD33" i="21"/>
  <c r="AF33" i="21"/>
  <c r="N33" i="21"/>
  <c r="AG26" i="21"/>
  <c r="AE67" i="21"/>
  <c r="C67" i="21"/>
  <c r="AA67" i="21"/>
  <c r="J67" i="21"/>
  <c r="Y54" i="21"/>
  <c r="F53" i="21"/>
  <c r="T20" i="21"/>
  <c r="J19" i="21"/>
  <c r="W54" i="21"/>
  <c r="F19" i="21"/>
  <c r="Y53" i="21"/>
  <c r="AH52" i="21"/>
  <c r="J52" i="21"/>
  <c r="X33" i="21"/>
  <c r="J20" i="21"/>
  <c r="AC18" i="21"/>
  <c r="W53" i="21"/>
  <c r="AG28" i="21"/>
  <c r="H33" i="21"/>
  <c r="V33" i="21"/>
  <c r="H20" i="21"/>
  <c r="AC52" i="21"/>
  <c r="D33" i="21"/>
  <c r="T53" i="21"/>
  <c r="AA52" i="21"/>
  <c r="C52" i="21"/>
  <c r="AB41" i="21"/>
  <c r="T33" i="21"/>
  <c r="AH19" i="21"/>
  <c r="X67" i="21"/>
  <c r="U33" i="21"/>
  <c r="V67" i="21"/>
  <c r="AG58" i="21"/>
  <c r="AG49" i="21"/>
  <c r="AB24" i="21"/>
  <c r="Z67" i="21"/>
  <c r="AG48" i="21"/>
  <c r="R33" i="21"/>
  <c r="AE20" i="21"/>
  <c r="I67" i="21"/>
  <c r="T67" i="21"/>
  <c r="Q67" i="21"/>
  <c r="AH54" i="21"/>
  <c r="J54" i="21"/>
  <c r="W52" i="21"/>
  <c r="AC20" i="21"/>
  <c r="W19" i="21"/>
  <c r="J18" i="21"/>
  <c r="AE54" i="21"/>
  <c r="AH33" i="21"/>
  <c r="AA20" i="21"/>
  <c r="N67" i="21"/>
  <c r="AB15" i="21"/>
  <c r="G67" i="21"/>
  <c r="AC54" i="21"/>
  <c r="F54" i="21"/>
  <c r="L33" i="21"/>
  <c r="AB61" i="21"/>
  <c r="AG60" i="21"/>
  <c r="L67" i="21"/>
  <c r="AA54" i="21"/>
  <c r="J33" i="21"/>
  <c r="AG42" i="21"/>
  <c r="Z33" i="21"/>
  <c r="I33" i="21"/>
  <c r="G33" i="21"/>
  <c r="S67" i="21"/>
  <c r="P33" i="21"/>
  <c r="R67" i="21"/>
  <c r="AF67" i="21"/>
  <c r="K33" i="21"/>
  <c r="AG44" i="21"/>
  <c r="AF19" i="21"/>
  <c r="AD66" i="21"/>
  <c r="AG66" i="21" s="1"/>
  <c r="H54" i="21"/>
  <c r="N52" i="21"/>
  <c r="AB44" i="21"/>
  <c r="O42" i="21"/>
  <c r="AC30" i="21"/>
  <c r="O26" i="21"/>
  <c r="AE19" i="21"/>
  <c r="AG16" i="21"/>
  <c r="AB62" i="21"/>
  <c r="N18" i="21"/>
  <c r="AE52" i="21"/>
  <c r="AG40" i="21"/>
  <c r="AG43" i="21" s="1"/>
  <c r="AB32" i="21"/>
  <c r="O27" i="21"/>
  <c r="H19" i="21"/>
  <c r="M18" i="21"/>
  <c r="AG22" i="21"/>
  <c r="D54" i="21"/>
  <c r="Q53" i="21"/>
  <c r="K52" i="21"/>
  <c r="AG24" i="21"/>
  <c r="AA19" i="21"/>
  <c r="G19" i="21"/>
  <c r="L18" i="21"/>
  <c r="O65" i="21"/>
  <c r="N20" i="21"/>
  <c r="H67" i="21"/>
  <c r="N53" i="21"/>
  <c r="AB26" i="21"/>
  <c r="AG23" i="21"/>
  <c r="M20" i="21"/>
  <c r="Y19" i="21"/>
  <c r="D19" i="21"/>
  <c r="AH67" i="21"/>
  <c r="O60" i="21"/>
  <c r="AF53" i="21"/>
  <c r="M53" i="21"/>
  <c r="H52" i="21"/>
  <c r="E30" i="21"/>
  <c r="O30" i="21" s="1"/>
  <c r="AH20" i="21"/>
  <c r="AF18" i="21"/>
  <c r="O28" i="21"/>
  <c r="K18" i="21"/>
  <c r="Y52" i="21"/>
  <c r="AG39" i="21"/>
  <c r="AC32" i="21"/>
  <c r="AG32" i="21" s="1"/>
  <c r="AB27" i="21"/>
  <c r="AF20" i="21"/>
  <c r="K20" i="21"/>
  <c r="AD18" i="21"/>
  <c r="H18" i="21"/>
  <c r="O40" i="21"/>
  <c r="O43" i="21" s="1"/>
  <c r="AG27" i="21"/>
  <c r="O66" i="21"/>
  <c r="AD64" i="21"/>
  <c r="O61" i="21"/>
  <c r="AC53" i="21"/>
  <c r="D52" i="21"/>
  <c r="AB28" i="21"/>
  <c r="AD20" i="21"/>
  <c r="P65" i="21"/>
  <c r="AB65" i="21" s="1"/>
  <c r="AB57" i="21"/>
  <c r="Y33" i="21"/>
  <c r="D18" i="21"/>
  <c r="AB60" i="21"/>
  <c r="AF54" i="21"/>
  <c r="M54" i="21"/>
  <c r="AG50" i="21"/>
  <c r="O39" i="21"/>
  <c r="Q30" i="21"/>
  <c r="Y18" i="21"/>
  <c r="O62" i="21"/>
  <c r="AB11" i="21"/>
  <c r="AB39" i="21"/>
  <c r="AG6" i="21"/>
  <c r="P66" i="21"/>
  <c r="AB66" i="21" s="1"/>
  <c r="AD65" i="21"/>
  <c r="AG65" i="21" s="1"/>
  <c r="M67" i="21"/>
  <c r="AG54" i="21"/>
  <c r="K54" i="21"/>
  <c r="AB49" i="21"/>
  <c r="E32" i="21"/>
  <c r="O32" i="21" s="1"/>
  <c r="AB7" i="21"/>
  <c r="AB31" i="21"/>
  <c r="AG45" i="21"/>
  <c r="AB54" i="21"/>
  <c r="AE33" i="21"/>
  <c r="AG31" i="21"/>
  <c r="O64" i="21"/>
  <c r="AB22" i="21"/>
  <c r="O11" i="21"/>
  <c r="O5" i="21"/>
  <c r="AG56" i="21"/>
  <c r="AB10" i="21"/>
  <c r="AB56" i="21"/>
  <c r="U54" i="21"/>
  <c r="E54" i="21"/>
  <c r="U53" i="21"/>
  <c r="E53" i="21"/>
  <c r="U52" i="21"/>
  <c r="E52" i="21"/>
  <c r="AB45" i="21"/>
  <c r="Q20" i="21"/>
  <c r="Q19" i="21"/>
  <c r="Q18" i="21"/>
  <c r="AB16" i="21"/>
  <c r="O10" i="21"/>
  <c r="AB5" i="21"/>
  <c r="O56" i="21"/>
  <c r="O45" i="21"/>
  <c r="O16" i="21"/>
  <c r="AG8" i="21"/>
  <c r="AE18" i="21"/>
  <c r="AG15" i="21"/>
  <c r="AB8" i="21"/>
  <c r="O8" i="21"/>
  <c r="O100" i="21" s="1"/>
  <c r="E31" i="21"/>
  <c r="AB50" i="21"/>
  <c r="O44" i="21"/>
  <c r="O15" i="21"/>
  <c r="AG7" i="21"/>
  <c r="O50" i="21"/>
  <c r="AG14" i="21"/>
  <c r="AB42" i="21"/>
  <c r="AB14" i="21"/>
  <c r="O7" i="21"/>
  <c r="O14" i="21"/>
  <c r="O49" i="21"/>
  <c r="AG41" i="21"/>
  <c r="O24" i="21"/>
  <c r="AG12" i="21"/>
  <c r="AB6" i="21"/>
  <c r="AB12" i="21"/>
  <c r="O6" i="21"/>
  <c r="AB58" i="21"/>
  <c r="AB48" i="21"/>
  <c r="O41" i="21"/>
  <c r="AB23" i="21"/>
  <c r="O12" i="21"/>
  <c r="P64" i="21"/>
  <c r="O58" i="21"/>
  <c r="O48" i="21"/>
  <c r="O23" i="21"/>
  <c r="AG11" i="21"/>
  <c r="AG5" i="21"/>
  <c r="AG57" i="21"/>
  <c r="AG46" i="21"/>
  <c r="AB40" i="21"/>
  <c r="AB43" i="21" s="1"/>
  <c r="U20" i="21"/>
  <c r="E20" i="21"/>
  <c r="U19" i="21"/>
  <c r="E19" i="21"/>
  <c r="E18" i="21"/>
  <c r="AB46" i="21"/>
  <c r="O57" i="21"/>
  <c r="O46" i="21"/>
  <c r="O22" i="21"/>
  <c r="S20" i="21"/>
  <c r="C20" i="21"/>
  <c r="S19" i="21"/>
  <c r="C19" i="21"/>
  <c r="S18" i="21"/>
  <c r="AG10" i="21"/>
  <c r="I56" i="22"/>
  <c r="Y56" i="22"/>
  <c r="AB56" i="22"/>
  <c r="AC48" i="22"/>
  <c r="AH53" i="22"/>
  <c r="J56" i="22"/>
  <c r="Z56" i="22"/>
  <c r="L56" i="22"/>
  <c r="AH47" i="22"/>
  <c r="AH35" i="22" s="1"/>
  <c r="R56" i="22"/>
  <c r="AA56" i="22"/>
  <c r="AH46" i="22"/>
  <c r="M56" i="22"/>
  <c r="AD56" i="22"/>
  <c r="P48" i="22"/>
  <c r="P56" i="22" s="1"/>
  <c r="U56" i="22"/>
  <c r="AC53" i="22"/>
  <c r="P55" i="22"/>
  <c r="P6" i="22"/>
  <c r="K56" i="22"/>
  <c r="AC47" i="22"/>
  <c r="T56" i="22"/>
  <c r="N56" i="22"/>
  <c r="AE56" i="22"/>
  <c r="E56" i="22"/>
  <c r="AH52" i="22"/>
  <c r="AH40" i="22" s="1"/>
  <c r="P54" i="22"/>
  <c r="AH6" i="22"/>
  <c r="O56" i="22"/>
  <c r="W56" i="22"/>
  <c r="AC52" i="22"/>
  <c r="AG56" i="22"/>
  <c r="G56" i="22"/>
  <c r="AH51" i="22"/>
  <c r="AC28" i="22"/>
  <c r="AF56" i="22"/>
  <c r="AH10" i="22"/>
  <c r="AH23" i="22"/>
  <c r="Q56" i="22"/>
  <c r="P47" i="22"/>
  <c r="AH14" i="22"/>
  <c r="AH27" i="22"/>
  <c r="AH39" i="22" s="1"/>
  <c r="P46" i="22"/>
  <c r="AH50" i="22"/>
  <c r="AC51" i="22"/>
  <c r="P29" i="22"/>
  <c r="AH18" i="22"/>
  <c r="AH31" i="22"/>
  <c r="AH43" i="22" s="1"/>
  <c r="S56" i="22"/>
  <c r="AH49" i="22"/>
  <c r="P52" i="22"/>
  <c r="F56" i="22"/>
  <c r="AH55" i="22"/>
  <c r="AC49" i="22"/>
  <c r="P51" i="22"/>
  <c r="V56" i="22"/>
  <c r="H56" i="22"/>
  <c r="X56" i="22"/>
  <c r="AH48" i="22"/>
  <c r="AH36" i="22" s="1"/>
  <c r="P50" i="22"/>
  <c r="AH54" i="22"/>
  <c r="AC55" i="22"/>
  <c r="AC43" i="22" s="1"/>
  <c r="AC34" i="22"/>
  <c r="AC42" i="22"/>
  <c r="AC30" i="22"/>
  <c r="AC26" i="22"/>
  <c r="AC22" i="22"/>
  <c r="AC17" i="22"/>
  <c r="AC13" i="22"/>
  <c r="AC9" i="22"/>
  <c r="AC6" i="22"/>
  <c r="AC8" i="22"/>
  <c r="AC12" i="22"/>
  <c r="AC16" i="22"/>
  <c r="AC21" i="22"/>
  <c r="AC25" i="22"/>
  <c r="AC37" i="22" s="1"/>
  <c r="AC29" i="22"/>
  <c r="AC45" i="22"/>
  <c r="AH8" i="22"/>
  <c r="AH12" i="22"/>
  <c r="AH16" i="22"/>
  <c r="AH21" i="22"/>
  <c r="AH25" i="22"/>
  <c r="AH37" i="22" s="1"/>
  <c r="AH29" i="22"/>
  <c r="AH41" i="22" s="1"/>
  <c r="AI56" i="22"/>
  <c r="P9" i="22"/>
  <c r="P13" i="22"/>
  <c r="P17" i="22"/>
  <c r="P22" i="22"/>
  <c r="P26" i="22"/>
  <c r="P30" i="22"/>
  <c r="D56" i="22"/>
  <c r="AH9" i="22"/>
  <c r="AH13" i="22"/>
  <c r="AH17" i="22"/>
  <c r="AH22" i="22"/>
  <c r="AH26" i="22"/>
  <c r="AH38" i="22" s="1"/>
  <c r="AH30" i="22"/>
  <c r="AH42" i="22" s="1"/>
  <c r="AH45" i="22"/>
  <c r="P10" i="22"/>
  <c r="P14" i="22"/>
  <c r="P18" i="22"/>
  <c r="P23" i="22"/>
  <c r="P35" i="22" s="1"/>
  <c r="P27" i="22"/>
  <c r="P39" i="22" s="1"/>
  <c r="P31" i="22"/>
  <c r="P43" i="22" s="1"/>
  <c r="AC10" i="22"/>
  <c r="AC14" i="22"/>
  <c r="AC18" i="22"/>
  <c r="AC23" i="22"/>
  <c r="AC35" i="22" s="1"/>
  <c r="AC27" i="22"/>
  <c r="AC31" i="22"/>
  <c r="P11" i="22"/>
  <c r="P15" i="22"/>
  <c r="P24" i="22"/>
  <c r="P28" i="22"/>
  <c r="AC11" i="22"/>
  <c r="AC15" i="22"/>
  <c r="AC24" i="22"/>
  <c r="AC36" i="22" s="1"/>
  <c r="AH11" i="22"/>
  <c r="AH15" i="22"/>
  <c r="AH24" i="22"/>
  <c r="P8" i="22"/>
  <c r="P12" i="22"/>
  <c r="P16" i="22"/>
  <c r="P21" i="22"/>
  <c r="P33" i="22" s="1"/>
  <c r="P25" i="22"/>
  <c r="P37" i="22" s="1"/>
  <c r="O18" i="21" l="1"/>
  <c r="AG53" i="21"/>
  <c r="AG20" i="21"/>
  <c r="AG52" i="21"/>
  <c r="AB19" i="21"/>
  <c r="O67" i="21"/>
  <c r="AG19" i="21"/>
  <c r="O53" i="21"/>
  <c r="AB53" i="21"/>
  <c r="AG18" i="21"/>
  <c r="AB18" i="21"/>
  <c r="O52" i="21"/>
  <c r="AB52" i="21"/>
  <c r="AB30" i="21"/>
  <c r="Q33" i="21"/>
  <c r="AB33" i="21" s="1"/>
  <c r="AG64" i="21"/>
  <c r="AD67" i="21"/>
  <c r="AG67" i="21" s="1"/>
  <c r="O54" i="21"/>
  <c r="AG30" i="21"/>
  <c r="AC33" i="21"/>
  <c r="AG33" i="21" s="1"/>
  <c r="AB64" i="21"/>
  <c r="P67" i="21"/>
  <c r="AB67" i="21" s="1"/>
  <c r="AB20" i="21"/>
  <c r="O31" i="21"/>
  <c r="E33" i="21"/>
  <c r="O33" i="21" s="1"/>
  <c r="O19" i="21"/>
  <c r="O20" i="21"/>
  <c r="AC41" i="22"/>
  <c r="AC40" i="22"/>
  <c r="P40" i="22"/>
  <c r="P36" i="22"/>
  <c r="P42" i="22"/>
  <c r="AC38" i="22"/>
  <c r="P38" i="22"/>
  <c r="AH34" i="22"/>
  <c r="P34" i="22"/>
  <c r="AH19" i="22"/>
  <c r="P41" i="22"/>
  <c r="AC39" i="22"/>
  <c r="AC19" i="22"/>
  <c r="P19" i="22"/>
  <c r="AH33" i="22"/>
  <c r="AH56" i="22"/>
  <c r="AC56" i="22"/>
  <c r="AC33" i="22"/>
</calcChain>
</file>

<file path=xl/sharedStrings.xml><?xml version="1.0" encoding="utf-8"?>
<sst xmlns="http://schemas.openxmlformats.org/spreadsheetml/2006/main" count="1738" uniqueCount="212">
  <si>
    <t>2026</t>
  </si>
  <si>
    <t>2026 Total</t>
  </si>
  <si>
    <t>2027</t>
  </si>
  <si>
    <t>2027 Total</t>
  </si>
  <si>
    <t>2028</t>
  </si>
  <si>
    <t>2028 Total</t>
  </si>
  <si>
    <t>2029</t>
  </si>
  <si>
    <t>Data</t>
  </si>
  <si>
    <t>Ley S %</t>
  </si>
  <si>
    <t>Ley Fe %</t>
  </si>
  <si>
    <t>Ley SiO2 %</t>
  </si>
  <si>
    <t>Ley Ag ppm</t>
  </si>
  <si>
    <t>Convencional 1 (ton)</t>
  </si>
  <si>
    <t>Convencional 2 (ton)</t>
  </si>
  <si>
    <t>Convencional 3 (ton)</t>
  </si>
  <si>
    <t>Convencional 4 (ton)</t>
  </si>
  <si>
    <t>SAG (ton)</t>
  </si>
  <si>
    <t>F04</t>
  </si>
  <si>
    <t>F03</t>
  </si>
  <si>
    <t>F03 Total</t>
  </si>
  <si>
    <t>F05</t>
  </si>
  <si>
    <t>F05 Total</t>
  </si>
  <si>
    <t>F05C</t>
  </si>
  <si>
    <t>F05C Total</t>
  </si>
  <si>
    <t>Grand Total</t>
  </si>
  <si>
    <t>Concentrado</t>
  </si>
  <si>
    <t>CF</t>
  </si>
  <si>
    <t>P03</t>
  </si>
  <si>
    <t>P04</t>
  </si>
  <si>
    <t>P05</t>
  </si>
  <si>
    <t>P06</t>
  </si>
  <si>
    <t>N° Dias</t>
  </si>
  <si>
    <t>Loader Hour</t>
  </si>
  <si>
    <t>RenDPala</t>
  </si>
  <si>
    <t>%Disp</t>
  </si>
  <si>
    <t>%UsoMax</t>
  </si>
  <si>
    <t>%UsoReal</t>
  </si>
  <si>
    <t>Hauler Hour</t>
  </si>
  <si>
    <t>RenDCamion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</si>
  <si>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</si>
  <si>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</si>
  <si>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</si>
  <si>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</si>
  <si>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</si>
  <si>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</si>
  <si>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</si>
  <si>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</si>
  <si>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</si>
  <si>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</si>
  <si>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</si>
  <si>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</si>
  <si>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Dias Nominales</t>
  </si>
  <si>
    <t>Días Neblina</t>
  </si>
  <si>
    <t>Dias Operativos</t>
  </si>
  <si>
    <t>Disponibilidad (%)</t>
  </si>
  <si>
    <t>PV-5</t>
  </si>
  <si>
    <t>DMM3-03</t>
  </si>
  <si>
    <t>PV6</t>
  </si>
  <si>
    <t>Uso Máximo (%)</t>
  </si>
  <si>
    <t>Uso de la disponibilidad(%)</t>
  </si>
  <si>
    <t>Uso MAX posible Con Neblina (%)</t>
  </si>
  <si>
    <t>Rendimiento (MPH)</t>
  </si>
  <si>
    <t>Horas Operativas</t>
  </si>
  <si>
    <t>Mts Producción</t>
  </si>
  <si>
    <t>Total Flota</t>
  </si>
  <si>
    <t>D65 SmartRoc - 15</t>
  </si>
  <si>
    <t>D65 SmartRoc - 14</t>
  </si>
  <si>
    <t>D65 Nueva</t>
  </si>
  <si>
    <t>Uso Con Neblina (%)</t>
  </si>
  <si>
    <t>Mts Precorte</t>
  </si>
  <si>
    <t>Flota</t>
  </si>
  <si>
    <t>Motoniveladoras Cat 16-H</t>
  </si>
  <si>
    <t>Bulldozer Cat D10T</t>
  </si>
  <si>
    <t>Bulldozer Komatsu D475A</t>
  </si>
  <si>
    <t>Wheeldozers Cat 834 C (W5)</t>
  </si>
  <si>
    <t>Wheeldozers Cat 834 H (W6)</t>
  </si>
  <si>
    <t>Excavadora  PC800                   N°2</t>
  </si>
  <si>
    <t>Excavadora  PC800 Martillo   N°4</t>
  </si>
  <si>
    <t>Excavadora  PC450 Martillo   N°3</t>
  </si>
  <si>
    <t>Retro5</t>
  </si>
  <si>
    <t>Rodillo</t>
  </si>
  <si>
    <t>Cargador WA500</t>
  </si>
  <si>
    <t>Uso con Neblina (%)</t>
  </si>
  <si>
    <t>Total Horas</t>
  </si>
  <si>
    <t>Motos</t>
  </si>
  <si>
    <t>Camino Fase V Intereccion Planta</t>
  </si>
  <si>
    <t>Fase V</t>
  </si>
  <si>
    <t>Stock Camino Mina Planta</t>
  </si>
  <si>
    <t>Camino Mina Planta</t>
  </si>
  <si>
    <t>Fase  Camino Mina Planta</t>
  </si>
  <si>
    <t>Fases</t>
  </si>
  <si>
    <t xml:space="preserve">Bull D10 </t>
  </si>
  <si>
    <t>Fase iV</t>
  </si>
  <si>
    <t>Bull Komatsu</t>
  </si>
  <si>
    <t>Fase III, Botaderos y stock</t>
  </si>
  <si>
    <t>Botadero y Stock</t>
  </si>
  <si>
    <t>Fase III</t>
  </si>
  <si>
    <t>BullKomatus</t>
  </si>
  <si>
    <t>wheel1</t>
  </si>
  <si>
    <t>Pala 5 Fase III</t>
  </si>
  <si>
    <t xml:space="preserve">Fase V, </t>
  </si>
  <si>
    <t>Stock</t>
  </si>
  <si>
    <t>wheel 2</t>
  </si>
  <si>
    <t xml:space="preserve">Circuito Fase V </t>
  </si>
  <si>
    <t>Excavadora PC 800</t>
  </si>
  <si>
    <t>Excvadoraa PC 450</t>
  </si>
  <si>
    <t>Fase Martillo stock</t>
  </si>
  <si>
    <t>Wa 500 (Nuevo)</t>
  </si>
  <si>
    <t>Botadero San Jose</t>
  </si>
  <si>
    <t xml:space="preserve">Botadero </t>
  </si>
  <si>
    <t>wa500</t>
  </si>
  <si>
    <t>Botadero El Carmen y stock</t>
  </si>
  <si>
    <t>Remanejo</t>
  </si>
  <si>
    <t>KM_Total</t>
  </si>
  <si>
    <t>KM_Subida</t>
  </si>
  <si>
    <t>KM_Bajando</t>
  </si>
  <si>
    <t>KM_Plano</t>
  </si>
  <si>
    <t>Bull</t>
  </si>
  <si>
    <t>CuS</t>
  </si>
  <si>
    <t>1055.000</t>
  </si>
  <si>
    <t>1040.000</t>
  </si>
  <si>
    <t>1025.000</t>
  </si>
  <si>
    <t>1010.000</t>
  </si>
  <si>
    <t>995.000</t>
  </si>
  <si>
    <t>980.000</t>
  </si>
  <si>
    <t>965.000</t>
  </si>
  <si>
    <t>950.000</t>
  </si>
  <si>
    <t>935.000</t>
  </si>
  <si>
    <t>920.000</t>
  </si>
  <si>
    <t>905.000</t>
  </si>
  <si>
    <t>890.000</t>
  </si>
  <si>
    <t>875.000</t>
  </si>
  <si>
    <t>860.000</t>
  </si>
  <si>
    <t>845.000</t>
  </si>
  <si>
    <t>830.000</t>
  </si>
  <si>
    <t>815.000</t>
  </si>
  <si>
    <t>800.000</t>
  </si>
  <si>
    <t>791.660</t>
  </si>
  <si>
    <t>785.000</t>
  </si>
  <si>
    <t>770.000</t>
  </si>
  <si>
    <t>755.000</t>
  </si>
  <si>
    <t>740.000</t>
  </si>
  <si>
    <t>725.000</t>
  </si>
  <si>
    <t>710.000</t>
  </si>
  <si>
    <t>695.000</t>
  </si>
  <si>
    <t>680.000</t>
  </si>
  <si>
    <t>1390.000</t>
  </si>
  <si>
    <t>1380.000</t>
  </si>
  <si>
    <t>1370.000</t>
  </si>
  <si>
    <t>1360.000</t>
  </si>
  <si>
    <t>1350.000</t>
  </si>
  <si>
    <t>1340.000</t>
  </si>
  <si>
    <t>1330.000</t>
  </si>
  <si>
    <t>1320.000</t>
  </si>
  <si>
    <t>1310.000</t>
  </si>
  <si>
    <t>1300.000</t>
  </si>
  <si>
    <t>1290.000</t>
  </si>
  <si>
    <t>1280.000</t>
  </si>
  <si>
    <t>1270.000</t>
  </si>
  <si>
    <t>1260.000</t>
  </si>
  <si>
    <t>1250.000</t>
  </si>
  <si>
    <t>1240.000</t>
  </si>
  <si>
    <t>1230.000</t>
  </si>
  <si>
    <t>1220.000</t>
  </si>
  <si>
    <t>1210.000</t>
  </si>
  <si>
    <t>1200.000</t>
  </si>
  <si>
    <t>1190.000</t>
  </si>
  <si>
    <t>1180.000</t>
  </si>
  <si>
    <t>1170.000</t>
  </si>
  <si>
    <t>1160.000</t>
  </si>
  <si>
    <t>1150.000</t>
  </si>
  <si>
    <t>1140.000</t>
  </si>
  <si>
    <t>1130.000</t>
  </si>
  <si>
    <t>1120.000</t>
  </si>
  <si>
    <t>1110.000</t>
  </si>
  <si>
    <t>1100.000</t>
  </si>
  <si>
    <t>1085.000</t>
  </si>
  <si>
    <t>1070.000</t>
  </si>
  <si>
    <t>Recuperacion Modelo</t>
  </si>
  <si>
    <t>Ley CuT %</t>
  </si>
  <si>
    <t>Origen</t>
  </si>
  <si>
    <t>Planta</t>
  </si>
  <si>
    <t>Recuperacion Planta</t>
  </si>
  <si>
    <t>Recuperacion Total</t>
  </si>
  <si>
    <t>Planta Total</t>
  </si>
  <si>
    <t>1er Trimestre_2028</t>
  </si>
  <si>
    <t>1er Trimestre_2029</t>
  </si>
  <si>
    <t>2do Trimestre_2028</t>
  </si>
  <si>
    <t>3er Trimestre_2028</t>
  </si>
  <si>
    <t>4to Trimestre_2028</t>
  </si>
  <si>
    <t>Cobre Fino</t>
  </si>
  <si>
    <t>Ton Tratamiento (Secas)</t>
  </si>
  <si>
    <t>Ley de Concentrado %</t>
  </si>
  <si>
    <t>Mina</t>
  </si>
  <si>
    <t>Tipo De Material</t>
  </si>
  <si>
    <t>Destino</t>
  </si>
  <si>
    <t>Botaderos</t>
  </si>
  <si>
    <t>Roca</t>
  </si>
  <si>
    <t>Relleno</t>
  </si>
  <si>
    <t>Total</t>
  </si>
  <si>
    <t>K Ton (Humedas)</t>
  </si>
  <si>
    <t>Año</t>
  </si>
  <si>
    <t>Tiempo de Ciclo</t>
  </si>
  <si>
    <t>Distancia</t>
  </si>
  <si>
    <t>N° Camiones</t>
  </si>
  <si>
    <t>Banco</t>
  </si>
  <si>
    <t>Fase</t>
  </si>
  <si>
    <t>Pala</t>
  </si>
  <si>
    <t>StockMP (mismo periodo)</t>
  </si>
  <si>
    <t>StockDR (Doble Remanejo)</t>
  </si>
  <si>
    <t>Total Mina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</si>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</sst>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#,##0.000"/>
    <numFmt numFmtId="165" formatCode="#,##0.0"/>
    <numFmt numFmtId="166" formatCode="_(* #,##0_);_(* \(#,##0\);_(* &quot;-&quot;??_);_(@_)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sz val="7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4">
    <xf numFmtId="0" fontId="0" fillId="0" borderId="0" xfId="0"/>
    <xf numFmtId="3" fontId="1" fillId="3" borderId="1" xfId="0" applyNumberFormat="1" applyFont="1" applyFill="1" applyBorder="1" applyAlignment="1">
      <alignment horizontal="center" vertical="center" readingOrder="1"/>
    </xf>
    <xf numFmtId="164" fontId="1" fillId="3" borderId="1" xfId="0" applyNumberFormat="1" applyFont="1" applyFill="1" applyBorder="1" applyAlignment="1">
      <alignment horizontal="center" vertical="center" readingOrder="1"/>
    </xf>
    <xf numFmtId="4" fontId="1" fillId="3" borderId="1" xfId="0" applyNumberFormat="1" applyFont="1" applyFill="1" applyBorder="1" applyAlignment="1">
      <alignment horizontal="center" vertical="center" readingOrder="1"/>
    </xf>
    <xf numFmtId="3" fontId="3" fillId="3" borderId="1" xfId="0" applyNumberFormat="1" applyFont="1" applyFill="1" applyBorder="1" applyAlignment="1">
      <alignment horizontal="center" vertical="center" readingOrder="1"/>
    </xf>
    <xf numFmtId="49" fontId="4" fillId="2" borderId="5" xfId="0" applyNumberFormat="1" applyFont="1" applyFill="1" applyBorder="1" applyAlignment="1">
      <alignment horizontal="center" vertical="center" readingOrder="1"/>
    </xf>
    <xf numFmtId="49" fontId="5" fillId="2" borderId="6" xfId="0" applyNumberFormat="1" applyFont="1" applyFill="1" applyBorder="1" applyAlignment="1">
      <alignment horizontal="center" vertical="center" wrapText="1" readingOrder="1"/>
    </xf>
    <xf numFmtId="4" fontId="6" fillId="5" borderId="6" xfId="0" applyNumberFormat="1" applyFont="1" applyFill="1" applyBorder="1" applyAlignment="1">
      <alignment horizontal="center" vertical="center" readingOrder="1"/>
    </xf>
    <xf numFmtId="3" fontId="6" fillId="5" borderId="6" xfId="0" applyNumberFormat="1" applyFont="1" applyFill="1" applyBorder="1" applyAlignment="1">
      <alignment horizontal="center" vertical="center" readingOrder="1"/>
    </xf>
    <xf numFmtId="49" fontId="9" fillId="0" borderId="6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1" fontId="11" fillId="0" borderId="6" xfId="3" applyNumberFormat="1" applyFont="1" applyFill="1" applyBorder="1" applyAlignment="1">
      <alignment horizontal="center" vertical="center"/>
    </xf>
    <xf numFmtId="9" fontId="12" fillId="0" borderId="6" xfId="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12" fillId="0" borderId="6" xfId="2" applyNumberFormat="1" applyFont="1" applyFill="1" applyBorder="1" applyAlignment="1">
      <alignment horizontal="center" vertical="center"/>
    </xf>
    <xf numFmtId="3" fontId="11" fillId="0" borderId="6" xfId="3" applyNumberFormat="1" applyFont="1" applyFill="1" applyBorder="1" applyAlignment="1">
      <alignment horizontal="center" vertical="center"/>
    </xf>
    <xf numFmtId="3" fontId="12" fillId="0" borderId="6" xfId="3" applyNumberFormat="1" applyFont="1" applyFill="1" applyBorder="1" applyAlignment="1">
      <alignment horizontal="center" vertical="center"/>
    </xf>
    <xf numFmtId="1" fontId="11" fillId="0" borderId="0" xfId="3" applyNumberFormat="1" applyFont="1" applyFill="1" applyBorder="1" applyAlignment="1">
      <alignment horizontal="center" vertical="center"/>
    </xf>
    <xf numFmtId="9" fontId="11" fillId="0" borderId="6" xfId="4" applyFont="1" applyFill="1" applyBorder="1" applyAlignment="1">
      <alignment horizontal="center" vertical="center"/>
    </xf>
    <xf numFmtId="0" fontId="7" fillId="0" borderId="0" xfId="0" applyFont="1"/>
    <xf numFmtId="0" fontId="0" fillId="0" borderId="6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 vertical="center"/>
    </xf>
    <xf numFmtId="167" fontId="11" fillId="0" borderId="6" xfId="4" applyNumberFormat="1" applyFont="1" applyFill="1" applyBorder="1" applyAlignment="1">
      <alignment horizontal="center" vertical="center"/>
    </xf>
    <xf numFmtId="167" fontId="11" fillId="0" borderId="6" xfId="1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readingOrder="1"/>
    </xf>
    <xf numFmtId="49" fontId="1" fillId="2" borderId="2" xfId="0" applyNumberFormat="1" applyFont="1" applyFill="1" applyBorder="1" applyAlignment="1">
      <alignment horizontal="center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3" fontId="1" fillId="2" borderId="1" xfId="0" applyNumberFormat="1" applyFont="1" applyFill="1" applyBorder="1" applyAlignment="1">
      <alignment horizontal="center" vertical="center" readingOrder="1"/>
    </xf>
    <xf numFmtId="3" fontId="1" fillId="4" borderId="1" xfId="0" applyNumberFormat="1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164" fontId="1" fillId="4" borderId="1" xfId="0" applyNumberFormat="1" applyFont="1" applyFill="1" applyBorder="1" applyAlignment="1">
      <alignment horizontal="center" vertical="center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4" fontId="1" fillId="4" borderId="1" xfId="0" applyNumberFormat="1" applyFont="1" applyFill="1" applyBorder="1" applyAlignment="1">
      <alignment horizontal="center" vertical="center" readingOrder="1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3" fillId="3" borderId="1" xfId="4" applyFont="1" applyFill="1" applyBorder="1" applyAlignment="1">
      <alignment horizontal="center" vertical="center" readingOrder="1"/>
    </xf>
    <xf numFmtId="9" fontId="3" fillId="0" borderId="1" xfId="4" applyFont="1" applyFill="1" applyBorder="1" applyAlignment="1">
      <alignment horizontal="center" vertical="center" readingOrder="1"/>
    </xf>
    <xf numFmtId="3" fontId="3" fillId="0" borderId="1" xfId="0" applyNumberFormat="1" applyFont="1" applyBorder="1" applyAlignment="1">
      <alignment horizontal="center" vertical="center" readingOrder="1"/>
    </xf>
    <xf numFmtId="0" fontId="1" fillId="4" borderId="1" xfId="4" applyNumberFormat="1" applyFont="1" applyFill="1" applyBorder="1" applyAlignment="1">
      <alignment horizontal="center" vertical="center" readingOrder="1"/>
    </xf>
    <xf numFmtId="165" fontId="1" fillId="4" borderId="1" xfId="0" applyNumberFormat="1" applyFont="1" applyFill="1" applyBorder="1" applyAlignment="1">
      <alignment horizontal="center" vertical="center" readingOrder="1"/>
    </xf>
    <xf numFmtId="9" fontId="1" fillId="4" borderId="1" xfId="4" applyFont="1" applyFill="1" applyBorder="1" applyAlignment="1">
      <alignment horizontal="center" vertical="center" readingOrder="1"/>
    </xf>
    <xf numFmtId="49" fontId="0" fillId="0" borderId="6" xfId="0" applyNumberForma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 readingOrder="1"/>
    </xf>
    <xf numFmtId="49" fontId="1" fillId="2" borderId="6" xfId="0" applyNumberFormat="1" applyFont="1" applyFill="1" applyBorder="1" applyAlignment="1">
      <alignment vertical="center" readingOrder="1"/>
    </xf>
    <xf numFmtId="49" fontId="1" fillId="2" borderId="2" xfId="0" applyNumberFormat="1" applyFont="1" applyFill="1" applyBorder="1" applyAlignment="1">
      <alignment vertical="center" readingOrder="1"/>
    </xf>
    <xf numFmtId="49" fontId="1" fillId="2" borderId="3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3" fontId="3" fillId="3" borderId="4" xfId="0" applyNumberFormat="1" applyFont="1" applyFill="1" applyBorder="1" applyAlignment="1">
      <alignment horizontal="center" vertical="center" readingOrder="1"/>
    </xf>
    <xf numFmtId="49" fontId="1" fillId="2" borderId="7" xfId="0" applyNumberFormat="1" applyFont="1" applyFill="1" applyBorder="1" applyAlignment="1">
      <alignment vertical="center" readingOrder="1"/>
    </xf>
    <xf numFmtId="49" fontId="1" fillId="2" borderId="11" xfId="0" applyNumberFormat="1" applyFont="1" applyFill="1" applyBorder="1" applyAlignment="1">
      <alignment vertical="center" readingOrder="1"/>
    </xf>
    <xf numFmtId="49" fontId="1" fillId="2" borderId="12" xfId="0" applyNumberFormat="1" applyFont="1" applyFill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  <xf numFmtId="49" fontId="0" fillId="0" borderId="9" xfId="0" applyNumberFormat="1" applyBorder="1"/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5" fontId="11" fillId="0" borderId="6" xfId="3" applyNumberFormat="1" applyFont="1" applyFill="1" applyBorder="1" applyAlignment="1">
      <alignment horizontal="center" vertical="center"/>
    </xf>
    <xf numFmtId="0" fontId="8" fillId="0" borderId="0" xfId="0" applyFont="1"/>
    <xf numFmtId="3" fontId="0" fillId="0" borderId="0" xfId="0" applyNumberFormat="1"/>
    <xf numFmtId="3" fontId="8" fillId="0" borderId="0" xfId="0" applyNumberFormat="1" applyFont="1"/>
  </cellXfs>
  <cellStyles count="5">
    <cellStyle name="Comma" xfId="2" builtinId="3"/>
    <cellStyle name="Comma [0]" xfId="3" builtinId="6"/>
    <cellStyle name="Normal" xfId="0" builtinId="0"/>
    <cellStyle name="Percent" xfId="4" builtinId="5"/>
    <cellStyle name="Porcentaje 2" xfId="1" xr:uid="{C2008F76-4037-4D00-B02D-ADBABFC4996E}"/>
  </cellStyles>
  <dxfs count="15"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34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36" sqref="M36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" width="15.88671875" style="13" customWidth="1"/>
    <col min="4" max="16" width="11.109375" style="13" customWidth="1"/>
    <col min="17" max="28" width="16" style="13" customWidth="1"/>
    <col min="29" max="29" width="13.44140625" style="13" customWidth="1"/>
    <col min="30" max="33" width="16" style="13" customWidth="1"/>
    <col min="34" max="34" width="13.44140625" style="13" customWidth="1"/>
    <col min="35" max="35" width="16" style="13" customWidth="1"/>
    <col min="36" max="16384" width="8.88671875" style="13"/>
  </cols>
  <sheetData>
    <row r="1" spans="1:35" ht="13.5" customHeight="1" x14ac:dyDescent="0.3">
      <c r="C1" s="31" t="s">
        <v>201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1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3</v>
      </c>
      <c r="AD1" s="51" t="s">
        <v>4</v>
      </c>
      <c r="AE1" s="51" t="s">
        <v>4</v>
      </c>
      <c r="AF1" s="51" t="s">
        <v>4</v>
      </c>
      <c r="AG1" s="51" t="s">
        <v>4</v>
      </c>
      <c r="AH1" s="51" t="s">
        <v>5</v>
      </c>
      <c r="AI1" s="31" t="s">
        <v>6</v>
      </c>
    </row>
    <row r="2" spans="1:35" ht="12.75" customHeight="1" x14ac:dyDescent="0.3">
      <c r="A2" s="31" t="s">
        <v>195</v>
      </c>
      <c r="B2" s="31" t="s">
        <v>180</v>
      </c>
      <c r="C2" s="31" t="s">
        <v>7</v>
      </c>
      <c r="D2" s="31" t="s">
        <v>39</v>
      </c>
      <c r="E2" s="31" t="s">
        <v>40</v>
      </c>
      <c r="F2" s="31" t="s">
        <v>41</v>
      </c>
      <c r="G2" s="31" t="s">
        <v>42</v>
      </c>
      <c r="H2" s="31" t="s">
        <v>43</v>
      </c>
      <c r="I2" s="31" t="s">
        <v>44</v>
      </c>
      <c r="J2" s="31" t="s">
        <v>45</v>
      </c>
      <c r="K2" s="31" t="s">
        <v>46</v>
      </c>
      <c r="L2" s="31" t="s">
        <v>47</v>
      </c>
      <c r="M2" s="31" t="s">
        <v>48</v>
      </c>
      <c r="N2" s="31" t="s">
        <v>49</v>
      </c>
      <c r="O2" s="31" t="s">
        <v>50</v>
      </c>
      <c r="P2" s="51" t="s">
        <v>1</v>
      </c>
      <c r="Q2" s="31" t="s">
        <v>39</v>
      </c>
      <c r="R2" s="31" t="s">
        <v>40</v>
      </c>
      <c r="S2" s="31" t="s">
        <v>41</v>
      </c>
      <c r="T2" s="31" t="s">
        <v>42</v>
      </c>
      <c r="U2" s="31" t="s">
        <v>43</v>
      </c>
      <c r="V2" s="31" t="s">
        <v>44</v>
      </c>
      <c r="W2" s="31" t="s">
        <v>45</v>
      </c>
      <c r="X2" s="31" t="s">
        <v>46</v>
      </c>
      <c r="Y2" s="31" t="s">
        <v>47</v>
      </c>
      <c r="Z2" s="31" t="s">
        <v>48</v>
      </c>
      <c r="AA2" s="31" t="s">
        <v>49</v>
      </c>
      <c r="AB2" s="31" t="s">
        <v>50</v>
      </c>
      <c r="AC2" s="51" t="s">
        <v>3</v>
      </c>
      <c r="AD2" s="31" t="s">
        <v>185</v>
      </c>
      <c r="AE2" s="31" t="s">
        <v>187</v>
      </c>
      <c r="AF2" s="31" t="s">
        <v>188</v>
      </c>
      <c r="AG2" s="31" t="s">
        <v>189</v>
      </c>
      <c r="AH2" s="51" t="s">
        <v>5</v>
      </c>
      <c r="AI2" s="31" t="s">
        <v>186</v>
      </c>
    </row>
    <row r="3" spans="1:35" ht="13.5" customHeight="1" x14ac:dyDescent="0.3">
      <c r="A3" s="49" t="s">
        <v>181</v>
      </c>
      <c r="B3" s="49" t="s">
        <v>193</v>
      </c>
      <c r="C3" s="32" t="s">
        <v>191</v>
      </c>
      <c r="D3" s="1">
        <v>131322.43038186882</v>
      </c>
      <c r="E3" s="1">
        <v>55263.156598996226</v>
      </c>
      <c r="F3" s="1">
        <v>28880.830171783477</v>
      </c>
      <c r="G3" s="1">
        <v>82633.940989472758</v>
      </c>
      <c r="H3" s="1">
        <v>37905.407246759511</v>
      </c>
      <c r="I3" s="1">
        <v>69602.821028055856</v>
      </c>
      <c r="J3" s="1">
        <v>43803.585770536767</v>
      </c>
      <c r="K3" s="1">
        <v>57463.238904222257</v>
      </c>
      <c r="L3" s="1">
        <v>17919.857164513</v>
      </c>
      <c r="M3" s="1">
        <v>126232.72080141996</v>
      </c>
      <c r="N3" s="1">
        <v>264828.51761792897</v>
      </c>
      <c r="O3" s="1">
        <v>44126.572179907816</v>
      </c>
      <c r="P3" s="33">
        <v>959983.07885546528</v>
      </c>
      <c r="Q3" s="1">
        <v>170835.49218904416</v>
      </c>
      <c r="R3" s="1">
        <v>96768.803137495692</v>
      </c>
      <c r="S3" s="1">
        <v>132603.23417212494</v>
      </c>
      <c r="T3" s="1">
        <v>190598.12683612673</v>
      </c>
      <c r="U3" s="1">
        <v>91843.717535594464</v>
      </c>
      <c r="V3" s="1">
        <v>101202.75841701501</v>
      </c>
      <c r="W3" s="1">
        <v>102641.28312760235</v>
      </c>
      <c r="X3" s="1">
        <v>121927.26826623802</v>
      </c>
      <c r="Y3" s="1">
        <v>125041.34139965638</v>
      </c>
      <c r="Z3" s="1">
        <v>187260.74825628611</v>
      </c>
      <c r="AA3" s="1">
        <v>18430.053212417592</v>
      </c>
      <c r="AB3" s="1">
        <v>147564.76454293446</v>
      </c>
      <c r="AC3" s="33">
        <v>1486717.5910925362</v>
      </c>
      <c r="AD3" s="1">
        <v>376116.1213747834</v>
      </c>
      <c r="AE3" s="1">
        <v>870468.30737523944</v>
      </c>
      <c r="AF3" s="1">
        <v>592099.20359199075</v>
      </c>
      <c r="AG3" s="1">
        <v>295638.75378353882</v>
      </c>
      <c r="AH3" s="33">
        <v>2134322.3861255534</v>
      </c>
      <c r="AI3" s="1">
        <v>530263.02932728105</v>
      </c>
    </row>
    <row r="4" spans="1:35" ht="13.5" customHeight="1" x14ac:dyDescent="0.3">
      <c r="A4" s="49" t="s">
        <v>181</v>
      </c>
      <c r="B4" s="49" t="s">
        <v>193</v>
      </c>
      <c r="C4" s="34" t="s">
        <v>179</v>
      </c>
      <c r="D4" s="2">
        <v>0.49518961015527901</v>
      </c>
      <c r="E4" s="2">
        <v>0.39162262449882601</v>
      </c>
      <c r="F4" s="2">
        <v>0.38189410925386003</v>
      </c>
      <c r="G4" s="2">
        <v>0.60973540795642001</v>
      </c>
      <c r="H4" s="2">
        <v>0.57011728417976504</v>
      </c>
      <c r="I4" s="2">
        <v>0.413362267403727</v>
      </c>
      <c r="J4" s="2">
        <v>0.46710107805593098</v>
      </c>
      <c r="K4" s="2">
        <v>0.78014282679172098</v>
      </c>
      <c r="L4" s="2">
        <v>0.74513514002556802</v>
      </c>
      <c r="M4" s="2">
        <v>0.89960432568336801</v>
      </c>
      <c r="N4" s="2">
        <v>0.75115501785896099</v>
      </c>
      <c r="O4" s="2">
        <v>1.46282421630832</v>
      </c>
      <c r="P4" s="35">
        <v>0.68141504501319505</v>
      </c>
      <c r="Q4" s="2">
        <v>0.52148612022221597</v>
      </c>
      <c r="R4" s="2">
        <v>0.71206035240400201</v>
      </c>
      <c r="S4" s="2">
        <v>1.003320586134</v>
      </c>
      <c r="T4" s="2">
        <v>0.77858554823714399</v>
      </c>
      <c r="U4" s="2">
        <v>0.75256416399905002</v>
      </c>
      <c r="V4" s="2">
        <v>1.2265824606279201</v>
      </c>
      <c r="W4" s="2">
        <v>0.62939685089684005</v>
      </c>
      <c r="X4" s="2">
        <v>0.93880252231587602</v>
      </c>
      <c r="Y4" s="2">
        <v>0.78434142486403302</v>
      </c>
      <c r="Z4" s="2">
        <v>0.83316354094044298</v>
      </c>
      <c r="AA4" s="2">
        <v>1.03508896578414</v>
      </c>
      <c r="AB4" s="2">
        <v>0.75572671871790198</v>
      </c>
      <c r="AC4" s="35">
        <v>0.80475467114118204</v>
      </c>
      <c r="AD4" s="2">
        <v>0.667030059687588</v>
      </c>
      <c r="AE4" s="2">
        <v>0.58595489839950399</v>
      </c>
      <c r="AF4" s="2">
        <v>0.57120461373241305</v>
      </c>
      <c r="AG4" s="2">
        <v>0.50880102779437197</v>
      </c>
      <c r="AH4" s="35">
        <v>0.58546311198394996</v>
      </c>
      <c r="AI4" s="2">
        <v>0.69867134519309004</v>
      </c>
    </row>
    <row r="5" spans="1:35" ht="13.5" customHeight="1" x14ac:dyDescent="0.3">
      <c r="A5" s="49" t="s">
        <v>181</v>
      </c>
      <c r="B5" s="49" t="s">
        <v>193</v>
      </c>
      <c r="C5" s="36" t="s">
        <v>178</v>
      </c>
      <c r="D5" s="3">
        <v>76.439468264812092</v>
      </c>
      <c r="E5" s="3">
        <v>80.52374405921303</v>
      </c>
      <c r="F5" s="3">
        <v>79.537186549297743</v>
      </c>
      <c r="G5" s="3">
        <v>79.903961524202757</v>
      </c>
      <c r="H5" s="3">
        <v>82.471966181775386</v>
      </c>
      <c r="I5" s="3">
        <v>80.583507699940867</v>
      </c>
      <c r="J5" s="3">
        <v>80.425751603812571</v>
      </c>
      <c r="K5" s="3">
        <v>82.366742858168351</v>
      </c>
      <c r="L5" s="3">
        <v>79.084856807023854</v>
      </c>
      <c r="M5" s="3">
        <v>79.869085730575833</v>
      </c>
      <c r="N5" s="3">
        <v>82.040366614662076</v>
      </c>
      <c r="O5" s="3">
        <v>82.258517563854952</v>
      </c>
      <c r="P5" s="37">
        <v>80.73294876985608</v>
      </c>
      <c r="Q5" s="3">
        <v>81.991962538663174</v>
      </c>
      <c r="R5" s="3">
        <v>83.405477501204516</v>
      </c>
      <c r="S5" s="3">
        <v>82.806673358658387</v>
      </c>
      <c r="T5" s="3">
        <v>80.712959942597436</v>
      </c>
      <c r="U5" s="3">
        <v>83.9915883486198</v>
      </c>
      <c r="V5" s="3">
        <v>80.648303929978027</v>
      </c>
      <c r="W5" s="3">
        <v>80.610774131995569</v>
      </c>
      <c r="X5" s="3">
        <v>79.736642130063842</v>
      </c>
      <c r="Y5" s="3">
        <v>78.11815291057367</v>
      </c>
      <c r="Z5" s="3">
        <v>82.349381368831999</v>
      </c>
      <c r="AA5" s="3">
        <v>77.449865565875783</v>
      </c>
      <c r="AB5" s="3">
        <v>76.751453032188479</v>
      </c>
      <c r="AC5" s="37">
        <v>80.859272238602756</v>
      </c>
      <c r="AD5" s="3">
        <v>79.7829110112813</v>
      </c>
      <c r="AE5" s="3">
        <v>79.166227832533863</v>
      </c>
      <c r="AF5" s="3">
        <v>80.041948575064652</v>
      </c>
      <c r="AG5" s="3">
        <v>79.572503603676623</v>
      </c>
      <c r="AH5" s="37">
        <v>79.575972806586762</v>
      </c>
      <c r="AI5" s="3">
        <v>76.451812514860791</v>
      </c>
    </row>
    <row r="6" spans="1:35" ht="12.75" customHeight="1" x14ac:dyDescent="0.3">
      <c r="A6" s="49" t="s">
        <v>181</v>
      </c>
      <c r="B6" s="49" t="s">
        <v>193</v>
      </c>
      <c r="C6" s="31" t="s">
        <v>182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7">
        <v>3</v>
      </c>
      <c r="Q6" s="3">
        <v>3</v>
      </c>
      <c r="R6" s="3">
        <v>3</v>
      </c>
      <c r="S6" s="3">
        <v>3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7">
        <v>3</v>
      </c>
      <c r="AD6" s="3">
        <v>4</v>
      </c>
      <c r="AE6" s="3">
        <v>4</v>
      </c>
      <c r="AF6" s="3">
        <v>4</v>
      </c>
      <c r="AG6" s="3">
        <v>4</v>
      </c>
      <c r="AH6" s="37">
        <v>4</v>
      </c>
      <c r="AI6" s="3">
        <v>4</v>
      </c>
    </row>
    <row r="7" spans="1:35" ht="13.5" customHeight="1" x14ac:dyDescent="0.3">
      <c r="A7" s="49" t="s">
        <v>181</v>
      </c>
      <c r="B7" s="49" t="s">
        <v>193</v>
      </c>
      <c r="C7" s="36" t="s">
        <v>183</v>
      </c>
      <c r="D7" s="3">
        <v>79.439468264812106</v>
      </c>
      <c r="E7" s="3">
        <v>83.523744059213001</v>
      </c>
      <c r="F7" s="3">
        <v>82.5371865492978</v>
      </c>
      <c r="G7" s="3">
        <v>82.903961524202799</v>
      </c>
      <c r="H7" s="3">
        <v>85.4719661817754</v>
      </c>
      <c r="I7" s="3">
        <v>83.583507699940895</v>
      </c>
      <c r="J7" s="3">
        <v>83.4257516038126</v>
      </c>
      <c r="K7" s="3">
        <v>85.366742858168394</v>
      </c>
      <c r="L7" s="3">
        <v>82.084856807023897</v>
      </c>
      <c r="M7" s="3">
        <v>82.869085730575804</v>
      </c>
      <c r="N7" s="3">
        <v>85.040366614662105</v>
      </c>
      <c r="O7" s="3">
        <v>85.258517563854994</v>
      </c>
      <c r="P7" s="37">
        <v>83.732948769856094</v>
      </c>
      <c r="Q7" s="3">
        <v>84.991962538663202</v>
      </c>
      <c r="R7" s="3">
        <v>86.405477501204501</v>
      </c>
      <c r="S7" s="3">
        <v>85.806673358658401</v>
      </c>
      <c r="T7" s="3">
        <v>83.712959942597394</v>
      </c>
      <c r="U7" s="3">
        <v>86.9915883486198</v>
      </c>
      <c r="V7" s="3">
        <v>83.648303929977999</v>
      </c>
      <c r="W7" s="3">
        <v>83.610774131995598</v>
      </c>
      <c r="X7" s="3">
        <v>82.7366421300638</v>
      </c>
      <c r="Y7" s="3">
        <v>81.118152910573698</v>
      </c>
      <c r="Z7" s="3">
        <v>85.349381368831999</v>
      </c>
      <c r="AA7" s="3">
        <v>80.449865565875797</v>
      </c>
      <c r="AB7" s="3">
        <v>79.751453032188493</v>
      </c>
      <c r="AC7" s="37">
        <v>83.859272238602799</v>
      </c>
      <c r="AD7" s="3">
        <v>83.7829110112813</v>
      </c>
      <c r="AE7" s="3">
        <v>83.166227832533906</v>
      </c>
      <c r="AF7" s="3">
        <v>84.041948575064595</v>
      </c>
      <c r="AG7" s="3">
        <v>83.572503603676594</v>
      </c>
      <c r="AH7" s="37">
        <v>83.575972806586805</v>
      </c>
      <c r="AI7" s="3">
        <v>80.451812514860805</v>
      </c>
    </row>
    <row r="8" spans="1:35" ht="12.75" customHeight="1" x14ac:dyDescent="0.3">
      <c r="A8" s="49" t="s">
        <v>181</v>
      </c>
      <c r="B8" s="49" t="s">
        <v>193</v>
      </c>
      <c r="C8" s="32" t="s">
        <v>190</v>
      </c>
      <c r="D8" s="1">
        <v>516.59091482212204</v>
      </c>
      <c r="E8" s="1">
        <v>180.76461286302401</v>
      </c>
      <c r="F8" s="1">
        <v>91.033720634976703</v>
      </c>
      <c r="G8" s="1">
        <v>417.71028135718001</v>
      </c>
      <c r="H8" s="1">
        <v>184.70943043048501</v>
      </c>
      <c r="I8" s="1">
        <v>240.47961382002501</v>
      </c>
      <c r="J8" s="1">
        <v>170.694945404864</v>
      </c>
      <c r="K8" s="1">
        <v>382.69512703003602</v>
      </c>
      <c r="L8" s="1">
        <v>109.60557215399901</v>
      </c>
      <c r="M8" s="1">
        <v>941.05720798882203</v>
      </c>
      <c r="N8" s="1">
        <v>1691.68479603219</v>
      </c>
      <c r="O8" s="1">
        <v>550.33877196175195</v>
      </c>
      <c r="P8" s="33">
        <v>5477.3649944994804</v>
      </c>
      <c r="Q8" s="1">
        <v>757.17926874505997</v>
      </c>
      <c r="R8" s="1">
        <v>595.37891331819196</v>
      </c>
      <c r="S8" s="1">
        <v>1141.6024834855</v>
      </c>
      <c r="T8" s="1">
        <v>1242.2747686150001</v>
      </c>
      <c r="U8" s="1">
        <v>601.27098750356095</v>
      </c>
      <c r="V8" s="1">
        <v>1038.35591149731</v>
      </c>
      <c r="W8" s="1">
        <v>540.14316226996004</v>
      </c>
      <c r="X8" s="1">
        <v>947.05016162522702</v>
      </c>
      <c r="Y8" s="1">
        <v>795.56712732839105</v>
      </c>
      <c r="Z8" s="1">
        <v>1331.6110459914801</v>
      </c>
      <c r="AA8" s="1">
        <v>153.47215480771101</v>
      </c>
      <c r="AB8" s="1">
        <v>889.37732058530503</v>
      </c>
      <c r="AC8" s="33">
        <v>10033.2833057727</v>
      </c>
      <c r="AD8" s="1">
        <v>2101.95202965308</v>
      </c>
      <c r="AE8" s="1">
        <v>4241.9364359618303</v>
      </c>
      <c r="AF8" s="1">
        <v>2842.3810356890699</v>
      </c>
      <c r="AG8" s="1">
        <v>1257.1084785155001</v>
      </c>
      <c r="AH8" s="33">
        <v>10443.377979819499</v>
      </c>
      <c r="AI8" s="1">
        <v>2980.57540330548</v>
      </c>
    </row>
    <row r="9" spans="1:35" ht="13.5" customHeight="1" x14ac:dyDescent="0.3">
      <c r="A9" s="49" t="s">
        <v>181</v>
      </c>
      <c r="B9" s="49" t="s">
        <v>101</v>
      </c>
      <c r="C9" s="32" t="s">
        <v>191</v>
      </c>
      <c r="D9" s="1">
        <v>364978.43661646062</v>
      </c>
      <c r="E9" s="1">
        <v>423854.82230100367</v>
      </c>
      <c r="F9" s="1">
        <v>449666.96962821652</v>
      </c>
      <c r="G9" s="1">
        <v>441760.79351052723</v>
      </c>
      <c r="H9" s="1">
        <v>463664.01585324085</v>
      </c>
      <c r="I9" s="1">
        <v>454014.61427194445</v>
      </c>
      <c r="J9" s="1">
        <v>478199.51912946266</v>
      </c>
      <c r="K9" s="1">
        <v>465339.96479577845</v>
      </c>
      <c r="L9" s="1">
        <v>450721.18393548735</v>
      </c>
      <c r="M9" s="1">
        <v>416136.53339857952</v>
      </c>
      <c r="N9" s="1">
        <v>222602.174682071</v>
      </c>
      <c r="O9" s="1">
        <v>499111.73532009177</v>
      </c>
      <c r="P9" s="33">
        <v>5130050.7634428656</v>
      </c>
      <c r="Q9" s="1">
        <v>334619.39061095577</v>
      </c>
      <c r="R9" s="1">
        <v>376500.23706250387</v>
      </c>
      <c r="S9" s="1">
        <v>376101.38782787457</v>
      </c>
      <c r="T9" s="1">
        <v>324908.75176387344</v>
      </c>
      <c r="U9" s="1">
        <v>418922.8977296229</v>
      </c>
      <c r="V9" s="1">
        <v>415823.4140829852</v>
      </c>
      <c r="W9" s="1">
        <v>415037.17477239779</v>
      </c>
      <c r="X9" s="1">
        <v>425199.84503376175</v>
      </c>
      <c r="Y9" s="1">
        <v>352510.68324424035</v>
      </c>
      <c r="Z9" s="1">
        <v>308143.25064371369</v>
      </c>
      <c r="AA9" s="1">
        <v>401752.94138758251</v>
      </c>
      <c r="AB9" s="1">
        <v>308024.60715706553</v>
      </c>
      <c r="AC9" s="33">
        <v>4457544.5813165754</v>
      </c>
      <c r="AD9" s="1">
        <v>844107.64062521723</v>
      </c>
      <c r="AE9" s="1">
        <v>392866.15162476071</v>
      </c>
      <c r="AF9" s="1">
        <v>650447.50744000869</v>
      </c>
      <c r="AG9" s="1">
        <v>984748.72521646193</v>
      </c>
      <c r="AH9" s="33">
        <v>2872170.0249064513</v>
      </c>
      <c r="AI9" s="1">
        <v>600690.28567271889</v>
      </c>
    </row>
    <row r="10" spans="1:35" ht="12.75" customHeight="1" x14ac:dyDescent="0.3">
      <c r="A10" s="49" t="s">
        <v>181</v>
      </c>
      <c r="B10" s="49" t="s">
        <v>101</v>
      </c>
      <c r="C10" s="34" t="s">
        <v>179</v>
      </c>
      <c r="D10" s="2">
        <v>0.85065774226031099</v>
      </c>
      <c r="E10" s="2">
        <v>0.78225716489366504</v>
      </c>
      <c r="F10" s="2">
        <v>0.81493866463764197</v>
      </c>
      <c r="G10" s="2">
        <v>0.71498523068233799</v>
      </c>
      <c r="H10" s="2">
        <v>0.71938034709908405</v>
      </c>
      <c r="I10" s="2">
        <v>0.75328483988673001</v>
      </c>
      <c r="J10" s="2">
        <v>0.74076428852531895</v>
      </c>
      <c r="K10" s="2">
        <v>0.69920367799790195</v>
      </c>
      <c r="L10" s="2">
        <v>0.867998020612472</v>
      </c>
      <c r="M10" s="2">
        <v>0.64765528322035104</v>
      </c>
      <c r="N10" s="2">
        <v>0.76307786370877595</v>
      </c>
      <c r="O10" s="2">
        <v>0.62237103306164099</v>
      </c>
      <c r="P10" s="35">
        <v>0.744773506065743</v>
      </c>
      <c r="Q10" s="2">
        <v>0.75941662238793906</v>
      </c>
      <c r="R10" s="2">
        <v>0.80462700152576205</v>
      </c>
      <c r="S10" s="2">
        <v>0.55169847822523899</v>
      </c>
      <c r="T10" s="2">
        <v>0.49230118315611598</v>
      </c>
      <c r="U10" s="2">
        <v>0.54644720010757497</v>
      </c>
      <c r="V10" s="2">
        <v>0.59879404013631599</v>
      </c>
      <c r="W10" s="2">
        <v>0.57973941253148997</v>
      </c>
      <c r="X10" s="2">
        <v>0.63364003441058603</v>
      </c>
      <c r="Y10" s="2">
        <v>0.508690733975667</v>
      </c>
      <c r="Z10" s="2">
        <v>0.46835019772415898</v>
      </c>
      <c r="AA10" s="2">
        <v>0.58543405787311897</v>
      </c>
      <c r="AB10" s="2">
        <v>0.55886704288317901</v>
      </c>
      <c r="AC10" s="35">
        <v>0.59302530077253002</v>
      </c>
      <c r="AD10" s="2">
        <v>0.54411244311652796</v>
      </c>
      <c r="AE10" s="2">
        <v>0.57323718421294401</v>
      </c>
      <c r="AF10" s="2">
        <v>0.591826987622732</v>
      </c>
      <c r="AG10" s="2">
        <v>0.749788601409629</v>
      </c>
      <c r="AH10" s="35">
        <v>0.62941981143252501</v>
      </c>
      <c r="AI10" s="2">
        <v>0.88844061594983603</v>
      </c>
    </row>
    <row r="11" spans="1:35" ht="13.5" customHeight="1" x14ac:dyDescent="0.3">
      <c r="A11" s="49" t="s">
        <v>181</v>
      </c>
      <c r="B11" s="49" t="s">
        <v>101</v>
      </c>
      <c r="C11" s="36" t="s">
        <v>178</v>
      </c>
      <c r="D11" s="3">
        <v>76.255665451102686</v>
      </c>
      <c r="E11" s="3">
        <v>76.279167357875892</v>
      </c>
      <c r="F11" s="3">
        <v>76.207257424627812</v>
      </c>
      <c r="G11" s="3">
        <v>76.42691897532977</v>
      </c>
      <c r="H11" s="3">
        <v>76.035185324690886</v>
      </c>
      <c r="I11" s="3">
        <v>76.345701514121174</v>
      </c>
      <c r="J11" s="3">
        <v>76.111746893868357</v>
      </c>
      <c r="K11" s="3">
        <v>75.875814371350558</v>
      </c>
      <c r="L11" s="3">
        <v>76.160799158238049</v>
      </c>
      <c r="M11" s="3">
        <v>74.734468023753337</v>
      </c>
      <c r="N11" s="3">
        <v>79.672449914083742</v>
      </c>
      <c r="O11" s="3">
        <v>77.628227788449067</v>
      </c>
      <c r="P11" s="37">
        <v>76.35681745192187</v>
      </c>
      <c r="Q11" s="3">
        <v>81.755906689427079</v>
      </c>
      <c r="R11" s="3">
        <v>81.267042257180378</v>
      </c>
      <c r="S11" s="3">
        <v>81.277766089270855</v>
      </c>
      <c r="T11" s="3">
        <v>83.410746630484411</v>
      </c>
      <c r="U11" s="3">
        <v>81.022505207710594</v>
      </c>
      <c r="V11" s="3">
        <v>80.292423753151411</v>
      </c>
      <c r="W11" s="3">
        <v>82.198964461389963</v>
      </c>
      <c r="X11" s="3">
        <v>81.050606617003538</v>
      </c>
      <c r="Y11" s="3">
        <v>81.28279000629523</v>
      </c>
      <c r="Z11" s="3">
        <v>80.682511254545716</v>
      </c>
      <c r="AA11" s="3">
        <v>80.052296077740067</v>
      </c>
      <c r="AB11" s="3">
        <v>78.850915998254422</v>
      </c>
      <c r="AC11" s="37">
        <v>81.098113075079326</v>
      </c>
      <c r="AD11" s="3">
        <v>79.006424355895405</v>
      </c>
      <c r="AE11" s="3">
        <v>76.239976749842086</v>
      </c>
      <c r="AF11" s="3">
        <v>76.738891535230323</v>
      </c>
      <c r="AG11" s="3">
        <v>77.168057684245809</v>
      </c>
      <c r="AH11" s="37">
        <v>77.428111239191779</v>
      </c>
      <c r="AI11" s="3">
        <v>78.142872054251129</v>
      </c>
    </row>
    <row r="12" spans="1:35" ht="12.75" customHeight="1" x14ac:dyDescent="0.3">
      <c r="A12" s="49" t="s">
        <v>181</v>
      </c>
      <c r="B12" s="49" t="s">
        <v>101</v>
      </c>
      <c r="C12" s="31" t="s">
        <v>182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3</v>
      </c>
      <c r="J12" s="3">
        <v>3</v>
      </c>
      <c r="K12" s="3">
        <v>3</v>
      </c>
      <c r="L12" s="3">
        <v>3</v>
      </c>
      <c r="M12" s="3">
        <v>3</v>
      </c>
      <c r="N12" s="3">
        <v>3</v>
      </c>
      <c r="O12" s="3">
        <v>3</v>
      </c>
      <c r="P12" s="37">
        <v>3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7">
        <v>3</v>
      </c>
      <c r="AD12" s="3">
        <v>4</v>
      </c>
      <c r="AE12" s="3">
        <v>4</v>
      </c>
      <c r="AF12" s="3">
        <v>4</v>
      </c>
      <c r="AG12" s="3">
        <v>4</v>
      </c>
      <c r="AH12" s="37">
        <v>4</v>
      </c>
      <c r="AI12" s="3">
        <v>4</v>
      </c>
    </row>
    <row r="13" spans="1:35" ht="13.5" customHeight="1" x14ac:dyDescent="0.3">
      <c r="A13" s="49" t="s">
        <v>181</v>
      </c>
      <c r="B13" s="49" t="s">
        <v>101</v>
      </c>
      <c r="C13" s="36" t="s">
        <v>183</v>
      </c>
      <c r="D13" s="3">
        <v>79.255665451102701</v>
      </c>
      <c r="E13" s="3">
        <v>79.279167357875906</v>
      </c>
      <c r="F13" s="3">
        <v>79.207257424627798</v>
      </c>
      <c r="G13" s="3">
        <v>79.426918975329798</v>
      </c>
      <c r="H13" s="3">
        <v>79.0351853246909</v>
      </c>
      <c r="I13" s="3">
        <v>79.345701514121203</v>
      </c>
      <c r="J13" s="3">
        <v>79.1117468938684</v>
      </c>
      <c r="K13" s="3">
        <v>78.8758143713506</v>
      </c>
      <c r="L13" s="3">
        <v>79.160799158238007</v>
      </c>
      <c r="M13" s="3">
        <v>77.734468023753394</v>
      </c>
      <c r="N13" s="3">
        <v>82.672449914083799</v>
      </c>
      <c r="O13" s="3">
        <v>80.628227788449095</v>
      </c>
      <c r="P13" s="37">
        <v>79.356817451921899</v>
      </c>
      <c r="Q13" s="3">
        <v>84.755906689427107</v>
      </c>
      <c r="R13" s="3">
        <v>84.267042257180407</v>
      </c>
      <c r="S13" s="3">
        <v>84.277766089270898</v>
      </c>
      <c r="T13" s="3">
        <v>86.410746630484397</v>
      </c>
      <c r="U13" s="3">
        <v>84.022505207710594</v>
      </c>
      <c r="V13" s="3">
        <v>83.292423753151397</v>
      </c>
      <c r="W13" s="3">
        <v>85.198964461390005</v>
      </c>
      <c r="X13" s="3">
        <v>84.050606617003496</v>
      </c>
      <c r="Y13" s="3">
        <v>84.282790006295201</v>
      </c>
      <c r="Z13" s="3">
        <v>83.682511254545702</v>
      </c>
      <c r="AA13" s="3">
        <v>83.052296077740095</v>
      </c>
      <c r="AB13" s="3">
        <v>81.850915998254393</v>
      </c>
      <c r="AC13" s="37">
        <v>84.098113075079297</v>
      </c>
      <c r="AD13" s="3">
        <v>83.006424355895405</v>
      </c>
      <c r="AE13" s="3">
        <v>80.2399767498421</v>
      </c>
      <c r="AF13" s="3">
        <v>80.738891535230294</v>
      </c>
      <c r="AG13" s="3">
        <v>81.168057684245795</v>
      </c>
      <c r="AH13" s="37">
        <v>81.428111239191793</v>
      </c>
      <c r="AI13" s="3">
        <v>82.1428720542511</v>
      </c>
    </row>
    <row r="14" spans="1:35" ht="13.5" customHeight="1" x14ac:dyDescent="0.3">
      <c r="A14" s="49" t="s">
        <v>181</v>
      </c>
      <c r="B14" s="49" t="s">
        <v>101</v>
      </c>
      <c r="C14" s="32" t="s">
        <v>190</v>
      </c>
      <c r="D14" s="1">
        <v>2460.66437920404</v>
      </c>
      <c r="E14" s="1">
        <v>2628.6075956295799</v>
      </c>
      <c r="F14" s="1">
        <v>2902.5578671540102</v>
      </c>
      <c r="G14" s="1">
        <v>2508.7186386767298</v>
      </c>
      <c r="H14" s="1">
        <v>2636.2247764805402</v>
      </c>
      <c r="I14" s="1">
        <v>2713.6414477365502</v>
      </c>
      <c r="J14" s="1">
        <v>2802.4001449924299</v>
      </c>
      <c r="K14" s="1">
        <v>2566.36198205032</v>
      </c>
      <c r="L14" s="1">
        <v>3096.9691210863598</v>
      </c>
      <c r="M14" s="1">
        <v>2095.0451576942</v>
      </c>
      <c r="N14" s="1">
        <v>1404.29731567206</v>
      </c>
      <c r="O14" s="1">
        <v>2504.57629914978</v>
      </c>
      <c r="P14" s="33">
        <v>30320.0647255152</v>
      </c>
      <c r="Q14" s="1">
        <v>2153.7791928927199</v>
      </c>
      <c r="R14" s="1">
        <v>2552.8047957049498</v>
      </c>
      <c r="S14" s="1">
        <v>1748.71782725345</v>
      </c>
      <c r="T14" s="1">
        <v>1382.1654950909101</v>
      </c>
      <c r="U14" s="1">
        <v>1923.43684152726</v>
      </c>
      <c r="V14" s="1">
        <v>2073.9195659833399</v>
      </c>
      <c r="W14" s="1">
        <v>2050.0013187011</v>
      </c>
      <c r="X14" s="1">
        <v>2264.5220752025598</v>
      </c>
      <c r="Y14" s="1">
        <v>1511.3498726282101</v>
      </c>
      <c r="Z14" s="1">
        <v>1207.6972355641201</v>
      </c>
      <c r="AA14" s="1">
        <v>1953.38879732244</v>
      </c>
      <c r="AB14" s="1">
        <v>1409.0209673781001</v>
      </c>
      <c r="AC14" s="33">
        <v>22230.803985249157</v>
      </c>
      <c r="AD14" s="1">
        <v>3812.3976698312999</v>
      </c>
      <c r="AE14" s="1">
        <v>1807.0483003100301</v>
      </c>
      <c r="AF14" s="1">
        <v>3108.06291764455</v>
      </c>
      <c r="AG14" s="1">
        <v>5993.0708880436996</v>
      </c>
      <c r="AH14" s="33">
        <f>SUM(AD14:AG14)</f>
        <v>14720.579775829579</v>
      </c>
      <c r="AI14" s="1">
        <v>4383.7814708440301</v>
      </c>
    </row>
    <row r="15" spans="1:35" ht="12.75" customHeight="1" x14ac:dyDescent="0.3">
      <c r="A15" s="48" t="s">
        <v>184</v>
      </c>
      <c r="B15" s="48" t="s">
        <v>184</v>
      </c>
      <c r="C15" s="30" t="s">
        <v>191</v>
      </c>
      <c r="D15" s="33">
        <v>496300.86699832918</v>
      </c>
      <c r="E15" s="33">
        <v>479117.97890000016</v>
      </c>
      <c r="F15" s="33">
        <v>478547.79980000015</v>
      </c>
      <c r="G15" s="33">
        <v>524394.7344999999</v>
      </c>
      <c r="H15" s="33">
        <v>501569.42310000007</v>
      </c>
      <c r="I15" s="33">
        <v>523617.43530000001</v>
      </c>
      <c r="J15" s="33">
        <v>522003.10490000003</v>
      </c>
      <c r="K15" s="33">
        <v>522803.20369999995</v>
      </c>
      <c r="L15" s="33">
        <v>468641.04109999991</v>
      </c>
      <c r="M15" s="33">
        <v>542369.25419999985</v>
      </c>
      <c r="N15" s="33">
        <v>487430.69230000005</v>
      </c>
      <c r="O15" s="33">
        <v>543238.30749999988</v>
      </c>
      <c r="P15" s="33">
        <v>6090033.8422983289</v>
      </c>
      <c r="Q15" s="33">
        <v>505454.88279999996</v>
      </c>
      <c r="R15" s="33">
        <v>473269.04019999993</v>
      </c>
      <c r="S15" s="33">
        <v>508704.62199999957</v>
      </c>
      <c r="T15" s="33">
        <v>515506.87860000023</v>
      </c>
      <c r="U15" s="33">
        <v>510766.61526521761</v>
      </c>
      <c r="V15" s="33">
        <v>517026.17249999999</v>
      </c>
      <c r="W15" s="33">
        <v>517678.45790000004</v>
      </c>
      <c r="X15" s="33">
        <v>547127.11330000008</v>
      </c>
      <c r="Y15" s="33">
        <v>477552.02464389679</v>
      </c>
      <c r="Z15" s="33">
        <v>495403.99890000001</v>
      </c>
      <c r="AA15" s="33">
        <v>420182.99460000027</v>
      </c>
      <c r="AB15" s="33">
        <v>455589.37169999996</v>
      </c>
      <c r="AC15" s="33">
        <v>5944262.1724091079</v>
      </c>
      <c r="AD15" s="33">
        <v>1220223.7620000006</v>
      </c>
      <c r="AE15" s="33">
        <v>1263334.4589999993</v>
      </c>
      <c r="AF15" s="33">
        <v>1242546.7110319999</v>
      </c>
      <c r="AG15" s="33">
        <v>1280387.479000001</v>
      </c>
      <c r="AH15" s="33">
        <v>5006492.411032008</v>
      </c>
      <c r="AI15" s="33">
        <v>1130953.3149999999</v>
      </c>
    </row>
    <row r="16" spans="1:35" ht="12.75" customHeight="1" x14ac:dyDescent="0.3">
      <c r="A16" s="48" t="s">
        <v>184</v>
      </c>
      <c r="B16" s="48" t="s">
        <v>184</v>
      </c>
      <c r="C16" s="30" t="s">
        <v>179</v>
      </c>
      <c r="D16" s="35">
        <v>0.75660000000072902</v>
      </c>
      <c r="E16" s="35">
        <v>0.73719999999999997</v>
      </c>
      <c r="F16" s="35">
        <v>0.78880399999999995</v>
      </c>
      <c r="G16" s="35">
        <v>0.69840000000000002</v>
      </c>
      <c r="H16" s="35">
        <v>0.70809999999999995</v>
      </c>
      <c r="I16" s="35">
        <v>0.70809999999999995</v>
      </c>
      <c r="J16" s="35">
        <v>0.71779999999999999</v>
      </c>
      <c r="K16" s="35">
        <v>0.70809999999999995</v>
      </c>
      <c r="L16" s="35">
        <v>0.86329999999999996</v>
      </c>
      <c r="M16" s="35">
        <v>0.70629469334017903</v>
      </c>
      <c r="N16" s="35">
        <v>0.75660000000000005</v>
      </c>
      <c r="O16" s="35">
        <v>0.69064000000000003</v>
      </c>
      <c r="P16" s="35">
        <v>0.73478619694927805</v>
      </c>
      <c r="Q16" s="35">
        <v>0.67900000000000005</v>
      </c>
      <c r="R16" s="35">
        <v>0.78569999999999995</v>
      </c>
      <c r="S16" s="35">
        <v>0.66942210317853101</v>
      </c>
      <c r="T16" s="35">
        <v>0.59814897295690495</v>
      </c>
      <c r="U16" s="35">
        <v>0.583510210189221</v>
      </c>
      <c r="V16" s="35">
        <v>0.72167741284606202</v>
      </c>
      <c r="W16" s="35">
        <v>0.58958510557292998</v>
      </c>
      <c r="X16" s="35">
        <v>0.70164548985804698</v>
      </c>
      <c r="Y16" s="35">
        <v>0.58086660250459898</v>
      </c>
      <c r="Z16" s="35">
        <v>0.60624819567380495</v>
      </c>
      <c r="AA16" s="35">
        <v>0.60515680721454301</v>
      </c>
      <c r="AB16" s="35">
        <v>0.62262961838873399</v>
      </c>
      <c r="AC16" s="35">
        <v>0.64100000000000001</v>
      </c>
      <c r="AD16" s="35">
        <v>0.58199999999999996</v>
      </c>
      <c r="AE16" s="35">
        <v>0.58200000000000096</v>
      </c>
      <c r="AF16" s="35">
        <v>0.58199999999464302</v>
      </c>
      <c r="AG16" s="35">
        <v>0.69414508168653999</v>
      </c>
      <c r="AH16" s="35">
        <v>0.63100000000000001</v>
      </c>
      <c r="AI16" s="35">
        <v>0.799464681178646</v>
      </c>
    </row>
    <row r="17" spans="1:35" ht="12.75" customHeight="1" x14ac:dyDescent="0.3">
      <c r="A17" s="48" t="s">
        <v>184</v>
      </c>
      <c r="B17" s="48" t="s">
        <v>184</v>
      </c>
      <c r="C17" s="30" t="s">
        <v>118</v>
      </c>
      <c r="D17" s="35">
        <v>1.8936000000000001E-2</v>
      </c>
      <c r="E17" s="35">
        <v>2.5703E-2</v>
      </c>
      <c r="F17" s="35">
        <v>1.3637E-2</v>
      </c>
      <c r="G17" s="35">
        <v>7.2680999999999996E-2</v>
      </c>
      <c r="H17" s="35">
        <v>3.6790999999999997E-2</v>
      </c>
      <c r="I17" s="35">
        <v>3.6847999999999999E-2</v>
      </c>
      <c r="J17" s="35">
        <v>2.8358000000000001E-2</v>
      </c>
      <c r="K17" s="35">
        <v>5.8958999999999998E-2</v>
      </c>
      <c r="L17" s="35">
        <v>3.9694E-2</v>
      </c>
      <c r="M17" s="35">
        <v>6.2225000000000003E-2</v>
      </c>
      <c r="N17" s="35">
        <v>4.1177999999999999E-2</v>
      </c>
      <c r="O17" s="35">
        <v>2.9631999999999999E-2</v>
      </c>
      <c r="P17" s="35">
        <v>3.9910000000000001E-2</v>
      </c>
      <c r="Q17" s="35">
        <v>6.3195000000000001E-2</v>
      </c>
      <c r="R17" s="35">
        <v>3.3422E-2</v>
      </c>
      <c r="S17" s="35">
        <v>4.6011999999999997E-2</v>
      </c>
      <c r="T17" s="35">
        <v>2.3682000000000002E-2</v>
      </c>
      <c r="U17" s="35">
        <v>1.0834999999999999E-2</v>
      </c>
      <c r="V17" s="35">
        <v>5.0256000000000002E-2</v>
      </c>
      <c r="W17" s="35">
        <v>1.8558000000000002E-2</v>
      </c>
      <c r="X17" s="35">
        <v>2.1166000000000001E-2</v>
      </c>
      <c r="Y17" s="35">
        <v>2.1321E-2</v>
      </c>
      <c r="Z17" s="35">
        <v>1.7840999999999999E-2</v>
      </c>
      <c r="AA17" s="35">
        <v>2.9967000000000001E-2</v>
      </c>
      <c r="AB17" s="35">
        <v>3.3592999999999998E-2</v>
      </c>
      <c r="AC17" s="35">
        <v>3.143E-2</v>
      </c>
      <c r="AD17" s="35">
        <v>2.3453000000000002E-2</v>
      </c>
      <c r="AE17" s="35">
        <v>4.5734999999999998E-2</v>
      </c>
      <c r="AF17" s="35">
        <v>9.3737000000000001E-2</v>
      </c>
      <c r="AG17" s="35">
        <v>0.15895200000000001</v>
      </c>
      <c r="AH17" s="35">
        <v>7.0807999999999996E-2</v>
      </c>
      <c r="AI17" s="35">
        <v>0.112375</v>
      </c>
    </row>
    <row r="18" spans="1:35" ht="13.5" customHeight="1" x14ac:dyDescent="0.3">
      <c r="A18" s="48" t="s">
        <v>184</v>
      </c>
      <c r="B18" s="48" t="s">
        <v>184</v>
      </c>
      <c r="C18" s="30" t="s">
        <v>178</v>
      </c>
      <c r="D18" s="37">
        <v>76.28749651982308</v>
      </c>
      <c r="E18" s="37">
        <v>76.539249212180025</v>
      </c>
      <c r="F18" s="37">
        <v>76.304553023195481</v>
      </c>
      <c r="G18" s="37">
        <v>76.905270688632143</v>
      </c>
      <c r="H18" s="37">
        <v>76.426844631633557</v>
      </c>
      <c r="I18" s="37">
        <v>76.674545626035339</v>
      </c>
      <c r="J18" s="37">
        <v>76.347319403112991</v>
      </c>
      <c r="K18" s="37">
        <v>76.661842722308549</v>
      </c>
      <c r="L18" s="37">
        <v>76.257304968004433</v>
      </c>
      <c r="M18" s="37">
        <v>76.256593961857135</v>
      </c>
      <c r="N18" s="37">
        <v>80.94971644971244</v>
      </c>
      <c r="O18" s="37">
        <v>78.424860965377391</v>
      </c>
      <c r="P18" s="37">
        <v>76.996530113436066</v>
      </c>
      <c r="Q18" s="37">
        <v>81.81718170817436</v>
      </c>
      <c r="R18" s="37">
        <v>81.663305171938944</v>
      </c>
      <c r="S18" s="37">
        <v>81.875089111634622</v>
      </c>
      <c r="T18" s="37">
        <v>82.112405702280654</v>
      </c>
      <c r="U18" s="37">
        <v>81.711069321268582</v>
      </c>
      <c r="V18" s="37">
        <v>80.410819814987093</v>
      </c>
      <c r="W18" s="37">
        <v>81.86280712896216</v>
      </c>
      <c r="X18" s="37">
        <v>80.658817160897172</v>
      </c>
      <c r="Y18" s="37">
        <v>80.163904640324731</v>
      </c>
      <c r="Z18" s="37">
        <v>81.548413377878788</v>
      </c>
      <c r="AA18" s="37">
        <v>79.857052383931631</v>
      </c>
      <c r="AB18" s="37">
        <v>78.02553910928215</v>
      </c>
      <c r="AC18" s="37">
        <v>81.023694224511885</v>
      </c>
      <c r="AD18" s="37">
        <v>79.280732617891786</v>
      </c>
      <c r="AE18" s="37">
        <v>78.269936436848255</v>
      </c>
      <c r="AF18" s="37">
        <v>78.283671215966649</v>
      </c>
      <c r="AG18" s="37">
        <v>77.574999845158089</v>
      </c>
      <c r="AH18" s="37">
        <v>78.305956895381016</v>
      </c>
      <c r="AI18" s="37">
        <v>77.44995824134044</v>
      </c>
    </row>
    <row r="19" spans="1:35" ht="13.5" customHeight="1" x14ac:dyDescent="0.3">
      <c r="A19" s="48" t="s">
        <v>184</v>
      </c>
      <c r="B19" s="48" t="s">
        <v>184</v>
      </c>
      <c r="C19" s="30" t="s">
        <v>182</v>
      </c>
      <c r="D19" s="37">
        <v>3</v>
      </c>
      <c r="E19" s="37">
        <v>3</v>
      </c>
      <c r="F19" s="37">
        <v>3</v>
      </c>
      <c r="G19" s="37">
        <v>3</v>
      </c>
      <c r="H19" s="37">
        <v>3</v>
      </c>
      <c r="I19" s="37">
        <v>3</v>
      </c>
      <c r="J19" s="37">
        <v>3</v>
      </c>
      <c r="K19" s="37">
        <v>3</v>
      </c>
      <c r="L19" s="37">
        <v>3</v>
      </c>
      <c r="M19" s="37">
        <v>3</v>
      </c>
      <c r="N19" s="37">
        <v>3</v>
      </c>
      <c r="O19" s="37">
        <v>3</v>
      </c>
      <c r="P19" s="37">
        <v>3</v>
      </c>
      <c r="Q19" s="37">
        <v>3</v>
      </c>
      <c r="R19" s="37">
        <v>3</v>
      </c>
      <c r="S19" s="37">
        <v>3</v>
      </c>
      <c r="T19" s="37">
        <v>3</v>
      </c>
      <c r="U19" s="37">
        <v>3</v>
      </c>
      <c r="V19" s="37">
        <v>3</v>
      </c>
      <c r="W19" s="37">
        <v>3</v>
      </c>
      <c r="X19" s="37">
        <v>3</v>
      </c>
      <c r="Y19" s="37">
        <v>3</v>
      </c>
      <c r="Z19" s="37">
        <v>3</v>
      </c>
      <c r="AA19" s="37">
        <v>3</v>
      </c>
      <c r="AB19" s="37">
        <v>3</v>
      </c>
      <c r="AC19" s="37">
        <v>3</v>
      </c>
      <c r="AD19" s="37">
        <v>4</v>
      </c>
      <c r="AE19" s="37">
        <v>4</v>
      </c>
      <c r="AF19" s="37">
        <v>4</v>
      </c>
      <c r="AG19" s="37">
        <v>4</v>
      </c>
      <c r="AH19" s="37">
        <v>4</v>
      </c>
      <c r="AI19" s="37">
        <v>4</v>
      </c>
    </row>
    <row r="20" spans="1:35" ht="12.75" customHeight="1" x14ac:dyDescent="0.3">
      <c r="A20" s="48" t="s">
        <v>184</v>
      </c>
      <c r="B20" s="48" t="s">
        <v>184</v>
      </c>
      <c r="C20" s="30" t="s">
        <v>183</v>
      </c>
      <c r="D20" s="37">
        <v>79.287496519823094</v>
      </c>
      <c r="E20" s="37">
        <v>79.539249212179996</v>
      </c>
      <c r="F20" s="37">
        <v>79.304553023195496</v>
      </c>
      <c r="G20" s="37">
        <v>79.9052706886321</v>
      </c>
      <c r="H20" s="37">
        <v>79.4268446316336</v>
      </c>
      <c r="I20" s="37">
        <v>79.674545626035396</v>
      </c>
      <c r="J20" s="37">
        <v>79.347319403113005</v>
      </c>
      <c r="K20" s="37">
        <v>79.661842722308606</v>
      </c>
      <c r="L20" s="37">
        <v>79.257304968004405</v>
      </c>
      <c r="M20" s="37">
        <v>79.256593961857106</v>
      </c>
      <c r="N20" s="37">
        <v>83.949716449712398</v>
      </c>
      <c r="O20" s="37">
        <v>81.424860965377405</v>
      </c>
      <c r="P20" s="37">
        <v>79.996530113436094</v>
      </c>
      <c r="Q20" s="37">
        <v>84.817181708174402</v>
      </c>
      <c r="R20" s="37">
        <v>84.663305171938902</v>
      </c>
      <c r="S20" s="37">
        <v>84.875089111634594</v>
      </c>
      <c r="T20" s="37">
        <v>85.112405702280597</v>
      </c>
      <c r="U20" s="37">
        <v>84.711069321268596</v>
      </c>
      <c r="V20" s="37">
        <v>83.410819814987093</v>
      </c>
      <c r="W20" s="37">
        <v>84.862807128962203</v>
      </c>
      <c r="X20" s="37">
        <v>83.6588171608972</v>
      </c>
      <c r="Y20" s="37">
        <v>83.163904640324702</v>
      </c>
      <c r="Z20" s="37">
        <v>84.548413377878802</v>
      </c>
      <c r="AA20" s="37">
        <v>82.857052383931602</v>
      </c>
      <c r="AB20" s="37">
        <v>81.025539109282207</v>
      </c>
      <c r="AC20" s="37">
        <v>84.0236942245119</v>
      </c>
      <c r="AD20" s="37">
        <v>83.2807326178918</v>
      </c>
      <c r="AE20" s="37">
        <v>82.269936436848198</v>
      </c>
      <c r="AF20" s="37">
        <v>82.283671215966606</v>
      </c>
      <c r="AG20" s="37">
        <v>81.574999845158104</v>
      </c>
      <c r="AH20" s="37">
        <v>82.305956895381001</v>
      </c>
      <c r="AI20" s="37">
        <v>81.449958241340397</v>
      </c>
    </row>
    <row r="21" spans="1:35" ht="13.5" customHeight="1" x14ac:dyDescent="0.3">
      <c r="A21" s="48" t="s">
        <v>184</v>
      </c>
      <c r="B21" s="48" t="s">
        <v>184</v>
      </c>
      <c r="C21" s="30" t="s">
        <v>190</v>
      </c>
      <c r="D21" s="33">
        <v>2977.2552940263499</v>
      </c>
      <c r="E21" s="33">
        <v>2809.3722084952601</v>
      </c>
      <c r="F21" s="33">
        <v>2993.59158779058</v>
      </c>
      <c r="G21" s="33">
        <v>2926.4289200408398</v>
      </c>
      <c r="H21" s="33">
        <v>2820.9342069167601</v>
      </c>
      <c r="I21" s="33">
        <v>2954.1210615617401</v>
      </c>
      <c r="J21" s="33">
        <v>2973.0950904013598</v>
      </c>
      <c r="K21" s="33">
        <v>2949.0571090869698</v>
      </c>
      <c r="L21" s="33">
        <v>3206.5746932407301</v>
      </c>
      <c r="M21" s="33">
        <v>3036.1023656857601</v>
      </c>
      <c r="N21" s="33">
        <v>3095.9821117093302</v>
      </c>
      <c r="O21" s="33">
        <v>3054.9150711227499</v>
      </c>
      <c r="P21" s="33">
        <v>35797.429720095701</v>
      </c>
      <c r="Q21" s="33">
        <f t="shared" ref="Q21:AB21" si="0">+Q8+Q14</f>
        <v>2910.9584616377797</v>
      </c>
      <c r="R21" s="33">
        <f t="shared" si="0"/>
        <v>3148.183709023142</v>
      </c>
      <c r="S21" s="33">
        <f t="shared" si="0"/>
        <v>2890.32031073895</v>
      </c>
      <c r="T21" s="33">
        <f t="shared" si="0"/>
        <v>2624.4402637059102</v>
      </c>
      <c r="U21" s="33">
        <f t="shared" si="0"/>
        <v>2524.7078290308209</v>
      </c>
      <c r="V21" s="33">
        <f t="shared" si="0"/>
        <v>3112.2754774806499</v>
      </c>
      <c r="W21" s="33">
        <f t="shared" si="0"/>
        <v>2590.1444809710601</v>
      </c>
      <c r="X21" s="33">
        <f t="shared" si="0"/>
        <v>3211.5722368277866</v>
      </c>
      <c r="Y21" s="33">
        <f t="shared" si="0"/>
        <v>2306.9169999566011</v>
      </c>
      <c r="Z21" s="33">
        <f t="shared" si="0"/>
        <v>2539.3082815555999</v>
      </c>
      <c r="AA21" s="33">
        <f t="shared" si="0"/>
        <v>2106.860952130151</v>
      </c>
      <c r="AB21" s="33">
        <f t="shared" si="0"/>
        <v>2298.398287963405</v>
      </c>
      <c r="AC21" s="33">
        <f>SUM(Q21:AB21)</f>
        <v>32264.087291021853</v>
      </c>
      <c r="AD21" s="33">
        <f>+AD8+AD14</f>
        <v>5914.3496994843799</v>
      </c>
      <c r="AE21" s="33">
        <f>+AE8+AE14</f>
        <v>6048.9847362718601</v>
      </c>
      <c r="AF21" s="33">
        <f>+AF8+AF14</f>
        <v>5950.4439533336199</v>
      </c>
      <c r="AG21" s="33">
        <f>+AG8+AG14</f>
        <v>7250.1793665591995</v>
      </c>
      <c r="AH21" s="33">
        <f>+AH8+AH14</f>
        <v>25163.957755649077</v>
      </c>
      <c r="AI21" s="33">
        <v>7364.3568741495001</v>
      </c>
    </row>
    <row r="22" spans="1:35" x14ac:dyDescent="0.3">
      <c r="A22" s="48" t="s">
        <v>184</v>
      </c>
      <c r="B22" s="48" t="s">
        <v>184</v>
      </c>
      <c r="C22" s="5" t="s">
        <v>192</v>
      </c>
      <c r="D22" s="37">
        <v>20.726328399923169</v>
      </c>
      <c r="E22" s="37">
        <v>20.661246041951934</v>
      </c>
      <c r="F22" s="37">
        <v>21.042429050125349</v>
      </c>
      <c r="G22" s="37">
        <v>20.87652804273381</v>
      </c>
      <c r="H22" s="37">
        <v>21.095458621025809</v>
      </c>
      <c r="I22" s="37">
        <v>20.957144104127938</v>
      </c>
      <c r="J22" s="37">
        <v>21.453555425489366</v>
      </c>
      <c r="K22" s="37">
        <v>21.501380909888859</v>
      </c>
      <c r="L22" s="37">
        <v>20.447456580407643</v>
      </c>
      <c r="M22" s="37">
        <v>19.908132032615143</v>
      </c>
      <c r="N22" s="37">
        <v>20.885866550166455</v>
      </c>
      <c r="O22" s="37">
        <v>19.866810531383912</v>
      </c>
      <c r="P22" s="37">
        <v>20.815155243049254</v>
      </c>
      <c r="Q22" s="37">
        <v>20.738430894648715</v>
      </c>
      <c r="R22" s="37">
        <v>21.381490744047337</v>
      </c>
      <c r="S22" s="37">
        <v>20.537122321174742</v>
      </c>
      <c r="T22" s="37">
        <v>19.843072005693596</v>
      </c>
      <c r="U22" s="37">
        <v>19.804370975191166</v>
      </c>
      <c r="V22" s="37">
        <v>20.646710355600895</v>
      </c>
      <c r="W22" s="37">
        <v>19.583280835863377</v>
      </c>
      <c r="X22" s="37">
        <v>20.497066627023749</v>
      </c>
      <c r="Y22" s="37">
        <v>19.123801051035102</v>
      </c>
      <c r="Z22" s="37">
        <v>19.574248645300145</v>
      </c>
      <c r="AA22" s="37">
        <v>19.341950599343619</v>
      </c>
      <c r="AB22" s="37">
        <v>19.474534476186296</v>
      </c>
      <c r="AC22" s="37">
        <v>19.960819837045534</v>
      </c>
      <c r="AD22" s="37">
        <v>19.756997926350987</v>
      </c>
      <c r="AE22" s="37">
        <v>19.265193825298599</v>
      </c>
      <c r="AF22" s="37">
        <v>19.572990441310438</v>
      </c>
      <c r="AG22" s="37">
        <v>19.899857084443695</v>
      </c>
      <c r="AH22" s="37">
        <v>20.288211839890131</v>
      </c>
      <c r="AI22" s="37">
        <v>20.953348662216349</v>
      </c>
    </row>
    <row r="23" spans="1:35" x14ac:dyDescent="0.3">
      <c r="A23" s="48" t="s">
        <v>184</v>
      </c>
      <c r="B23" s="48" t="s">
        <v>184</v>
      </c>
      <c r="C23" s="5" t="s">
        <v>8</v>
      </c>
      <c r="D23" s="35">
        <v>14.540128654938378</v>
      </c>
      <c r="E23" s="35">
        <v>14.521353354589465</v>
      </c>
      <c r="F23" s="35">
        <v>14.678910462130293</v>
      </c>
      <c r="G23" s="35">
        <v>14.047974463492576</v>
      </c>
      <c r="H23" s="35">
        <v>14.411646859429901</v>
      </c>
      <c r="I23" s="35">
        <v>14.015058150784625</v>
      </c>
      <c r="J23" s="35">
        <v>14.244913107829259</v>
      </c>
      <c r="K23" s="35">
        <v>13.319026715598575</v>
      </c>
      <c r="L23" s="35">
        <v>13.280840472286751</v>
      </c>
      <c r="M23" s="35">
        <v>14.932748745301087</v>
      </c>
      <c r="N23" s="35">
        <v>15.62616071704349</v>
      </c>
      <c r="O23" s="35">
        <v>15.283402250507052</v>
      </c>
      <c r="P23" s="35">
        <v>16.015070204317116</v>
      </c>
      <c r="Q23" s="35">
        <v>16.713987703402921</v>
      </c>
      <c r="R23" s="35">
        <v>15.808538933011967</v>
      </c>
      <c r="S23" s="35">
        <v>14.862768889807846</v>
      </c>
      <c r="T23" s="35">
        <v>16.137955703229022</v>
      </c>
      <c r="U23" s="35">
        <v>17.043316712618633</v>
      </c>
      <c r="V23" s="35">
        <v>16.908932782005117</v>
      </c>
      <c r="W23" s="35">
        <v>16.566902927596331</v>
      </c>
      <c r="X23" s="35">
        <v>17.382696762910712</v>
      </c>
      <c r="Y23" s="35">
        <v>16.821635326516542</v>
      </c>
      <c r="Z23" s="35">
        <v>17.735682279087076</v>
      </c>
      <c r="AA23" s="35">
        <v>17.628322143620199</v>
      </c>
      <c r="AB23" s="35">
        <v>17.413165045424982</v>
      </c>
      <c r="AC23" s="35">
        <v>16.800848968174073</v>
      </c>
      <c r="AD23" s="35">
        <v>16.44288607148394</v>
      </c>
      <c r="AE23" s="35">
        <v>17.359715692269877</v>
      </c>
      <c r="AF23" s="35">
        <v>16.583714023679626</v>
      </c>
      <c r="AG23" s="35">
        <v>16.127302841549664</v>
      </c>
      <c r="AH23" s="35">
        <v>15.683668855206193</v>
      </c>
      <c r="AI23" s="35">
        <v>14.677450137259605</v>
      </c>
    </row>
    <row r="24" spans="1:35" x14ac:dyDescent="0.3">
      <c r="A24" s="48" t="s">
        <v>184</v>
      </c>
      <c r="B24" s="48" t="s">
        <v>184</v>
      </c>
      <c r="C24" s="5" t="s">
        <v>9</v>
      </c>
      <c r="D24" s="35">
        <v>12</v>
      </c>
      <c r="E24" s="35">
        <v>12</v>
      </c>
      <c r="F24" s="35">
        <v>12</v>
      </c>
      <c r="G24" s="35">
        <v>12</v>
      </c>
      <c r="H24" s="35">
        <v>12</v>
      </c>
      <c r="I24" s="35">
        <v>12</v>
      </c>
      <c r="J24" s="35">
        <v>12</v>
      </c>
      <c r="K24" s="35">
        <v>12</v>
      </c>
      <c r="L24" s="35">
        <v>12</v>
      </c>
      <c r="M24" s="35">
        <v>12.549418987065966</v>
      </c>
      <c r="N24" s="35">
        <v>13.610042588003061</v>
      </c>
      <c r="O24" s="35">
        <v>12.8662568220031</v>
      </c>
      <c r="P24" s="35">
        <v>14.097511295650605</v>
      </c>
      <c r="Q24" s="35">
        <v>14.359762442317985</v>
      </c>
      <c r="R24" s="35">
        <v>13.301256559936983</v>
      </c>
      <c r="S24" s="35">
        <v>12</v>
      </c>
      <c r="T24" s="35">
        <v>13.671258086343936</v>
      </c>
      <c r="U24" s="35">
        <v>14.966901917227748</v>
      </c>
      <c r="V24" s="35">
        <v>14.930969204727226</v>
      </c>
      <c r="W24" s="35">
        <v>13.75166679788958</v>
      </c>
      <c r="X24" s="35">
        <v>15.340009621069655</v>
      </c>
      <c r="Y24" s="35">
        <v>14.116075937664725</v>
      </c>
      <c r="Z24" s="35">
        <v>15.726904845499684</v>
      </c>
      <c r="AA24" s="35">
        <v>15.468278638207085</v>
      </c>
      <c r="AB24" s="35">
        <v>15.27217492843239</v>
      </c>
      <c r="AC24" s="35">
        <v>14.586469702539116</v>
      </c>
      <c r="AD24" s="35">
        <v>14.323044799323018</v>
      </c>
      <c r="AE24" s="35">
        <v>15.365377526241264</v>
      </c>
      <c r="AF24" s="35">
        <v>14.633685552927513</v>
      </c>
      <c r="AG24" s="35">
        <v>14.203335449330396</v>
      </c>
      <c r="AH24" s="35">
        <v>13.089598883019349</v>
      </c>
      <c r="AI24" s="35">
        <v>12</v>
      </c>
    </row>
    <row r="25" spans="1:35" x14ac:dyDescent="0.3">
      <c r="A25" s="48" t="s">
        <v>184</v>
      </c>
      <c r="B25" s="48" t="s">
        <v>184</v>
      </c>
      <c r="C25" s="5" t="s">
        <v>10</v>
      </c>
      <c r="D25" s="37">
        <v>26.082315349055456</v>
      </c>
      <c r="E25" s="37">
        <v>25.983645221920533</v>
      </c>
      <c r="F25" s="37">
        <v>25.745445780581349</v>
      </c>
      <c r="G25" s="37">
        <v>26.861829450502682</v>
      </c>
      <c r="H25" s="37">
        <v>26.347753846137614</v>
      </c>
      <c r="I25" s="37">
        <v>26.943237535003099</v>
      </c>
      <c r="J25" s="37">
        <v>26.587571660255527</v>
      </c>
      <c r="K25" s="37">
        <v>28.212860813827454</v>
      </c>
      <c r="L25" s="37">
        <v>28.273005313096284</v>
      </c>
      <c r="M25" s="37">
        <v>25.859908096973022</v>
      </c>
      <c r="N25" s="37">
        <v>25.871886956074071</v>
      </c>
      <c r="O25" s="37">
        <v>27.088053401932562</v>
      </c>
      <c r="P25" s="37">
        <v>26.284517291212005</v>
      </c>
      <c r="Q25" s="37">
        <v>26.960003782223943</v>
      </c>
      <c r="R25" s="37">
        <v>27.340095214023123</v>
      </c>
      <c r="S25" s="37">
        <v>27.106937090699262</v>
      </c>
      <c r="T25" s="37">
        <v>27.120241466962305</v>
      </c>
      <c r="U25" s="37">
        <v>27.171052365274321</v>
      </c>
      <c r="V25" s="37">
        <v>27.005280686603477</v>
      </c>
      <c r="W25" s="37">
        <v>27.890881713631671</v>
      </c>
      <c r="X25" s="37">
        <v>26.999278101699581</v>
      </c>
      <c r="Y25" s="37">
        <v>27.736239737413435</v>
      </c>
      <c r="Z25" s="37">
        <v>26.383838328882263</v>
      </c>
      <c r="AA25" s="37">
        <v>27.194226578757409</v>
      </c>
      <c r="AB25" s="37">
        <v>26.512468744313203</v>
      </c>
      <c r="AC25" s="37">
        <v>25.718982039937991</v>
      </c>
      <c r="AD25" s="37">
        <v>25.8896689173068</v>
      </c>
      <c r="AE25" s="37">
        <v>25.903235065247806</v>
      </c>
      <c r="AF25" s="37">
        <v>25.799848301823978</v>
      </c>
      <c r="AG25" s="37">
        <v>26.049145514632791</v>
      </c>
      <c r="AH25" s="37">
        <v>25.932347209061</v>
      </c>
      <c r="AI25" s="37">
        <v>25.381690254798905</v>
      </c>
    </row>
    <row r="26" spans="1:35" x14ac:dyDescent="0.3">
      <c r="A26" s="48" t="s">
        <v>184</v>
      </c>
      <c r="B26" s="48" t="s">
        <v>184</v>
      </c>
      <c r="C26" s="5" t="s">
        <v>11</v>
      </c>
      <c r="D26" s="35">
        <v>37.475515756811049</v>
      </c>
      <c r="E26" s="35">
        <v>35.410180713796507</v>
      </c>
      <c r="F26" s="35">
        <v>35.688728559645213</v>
      </c>
      <c r="G26" s="35">
        <v>37.17543604309072</v>
      </c>
      <c r="H26" s="35">
        <v>35.981334143277856</v>
      </c>
      <c r="I26" s="35">
        <v>38.422043427409903</v>
      </c>
      <c r="J26" s="35">
        <v>36.647069344094042</v>
      </c>
      <c r="K26" s="35">
        <v>36.34136511700207</v>
      </c>
      <c r="L26" s="35">
        <v>37.903379689983616</v>
      </c>
      <c r="M26" s="35">
        <v>38.006791450254198</v>
      </c>
      <c r="N26" s="35">
        <v>34.547249998990125</v>
      </c>
      <c r="O26" s="35">
        <v>37.417515623552198</v>
      </c>
      <c r="P26" s="35">
        <v>32.530079667986797</v>
      </c>
      <c r="Q26" s="35">
        <v>21.40669757610824</v>
      </c>
      <c r="R26" s="35">
        <v>31.290456283799916</v>
      </c>
      <c r="S26" s="35">
        <v>36.235126901591002</v>
      </c>
      <c r="T26" s="35">
        <v>33.899402692620193</v>
      </c>
      <c r="U26" s="35">
        <v>22.364085868294147</v>
      </c>
      <c r="V26" s="35">
        <v>24.769988706701888</v>
      </c>
      <c r="W26" s="35">
        <v>17.677787496515453</v>
      </c>
      <c r="X26" s="35">
        <v>18.286819959887218</v>
      </c>
      <c r="Y26" s="35">
        <v>21.649795451441932</v>
      </c>
      <c r="Z26" s="35">
        <v>13.422131044228493</v>
      </c>
      <c r="AA26" s="35">
        <v>13.752556666146313</v>
      </c>
      <c r="AB26" s="35">
        <v>15.044676288311949</v>
      </c>
      <c r="AC26" s="35">
        <v>30.029160766615327</v>
      </c>
      <c r="AD26" s="35">
        <v>37.977429625619607</v>
      </c>
      <c r="AE26" s="35">
        <v>28.022002515974854</v>
      </c>
      <c r="AF26" s="35">
        <v>36.785169744377271</v>
      </c>
      <c r="AG26" s="35">
        <v>41.851560190742433</v>
      </c>
      <c r="AH26" s="35">
        <v>37.048353842376727</v>
      </c>
      <c r="AI26" s="35">
        <v>35.709849868462896</v>
      </c>
    </row>
    <row r="27" spans="1:35" x14ac:dyDescent="0.3">
      <c r="A27" s="48" t="s">
        <v>184</v>
      </c>
      <c r="B27" s="48" t="s">
        <v>184</v>
      </c>
      <c r="C27" s="5" t="s">
        <v>25</v>
      </c>
      <c r="D27" s="33">
        <v>14364.605426387963</v>
      </c>
      <c r="E27" s="33">
        <v>13597.302906082848</v>
      </c>
      <c r="F27" s="33">
        <v>14226.454468063166</v>
      </c>
      <c r="G27" s="33">
        <v>15364.372898363101</v>
      </c>
      <c r="H27" s="33">
        <v>14705.100679958994</v>
      </c>
      <c r="I27" s="33">
        <v>15435.419281748547</v>
      </c>
      <c r="J27" s="33">
        <v>16653.393099081957</v>
      </c>
      <c r="K27" s="33">
        <v>16330.273436318552</v>
      </c>
      <c r="L27" s="33">
        <v>12117.682754483725</v>
      </c>
      <c r="M27" s="33">
        <v>13013.929571397548</v>
      </c>
      <c r="N27" s="33">
        <v>13132.877820809239</v>
      </c>
      <c r="O27" s="33">
        <v>12959.562456725247</v>
      </c>
      <c r="P27" s="33">
        <v>171900.97479942086</v>
      </c>
      <c r="Q27" s="33">
        <v>14036.541512834076</v>
      </c>
      <c r="R27" s="33">
        <v>14723.873778077506</v>
      </c>
      <c r="S27" s="33">
        <v>14073.638290410841</v>
      </c>
      <c r="T27" s="33">
        <v>13225.977625605934</v>
      </c>
      <c r="U27" s="33">
        <v>12748.235388027055</v>
      </c>
      <c r="V27" s="33">
        <v>15073.953302380791</v>
      </c>
      <c r="W27" s="33">
        <v>13226.305146110481</v>
      </c>
      <c r="X27" s="33">
        <v>15668.448052910922</v>
      </c>
      <c r="Y27" s="33">
        <v>12063.067346288535</v>
      </c>
      <c r="Z27" s="33">
        <v>12972.69860810367</v>
      </c>
      <c r="AA27" s="33">
        <v>10892.701546871374</v>
      </c>
      <c r="AB27" s="33">
        <v>11802.07049762301</v>
      </c>
      <c r="AC27" s="33">
        <v>160507.51109524418</v>
      </c>
      <c r="AD27" s="33">
        <v>29935.467531714909</v>
      </c>
      <c r="AE27" s="33">
        <v>31398.514809274788</v>
      </c>
      <c r="AF27" s="33">
        <v>30401.302096253614</v>
      </c>
      <c r="AG27" s="33">
        <v>36433.323796214048</v>
      </c>
      <c r="AH27" s="33">
        <v>128168.60823345734</v>
      </c>
      <c r="AI27" s="33">
        <v>35146.443620389466</v>
      </c>
    </row>
    <row r="28" spans="1:35" x14ac:dyDescent="0.3">
      <c r="A28" s="48" t="s">
        <v>184</v>
      </c>
      <c r="B28" s="48" t="s">
        <v>184</v>
      </c>
      <c r="C28" s="6" t="s">
        <v>12</v>
      </c>
      <c r="D28" s="7">
        <v>27.908345428751822</v>
      </c>
      <c r="E28" s="7">
        <v>36.666760172125713</v>
      </c>
      <c r="F28" s="7">
        <v>27.224841872526508</v>
      </c>
      <c r="G28" s="7">
        <v>41.441128857279857</v>
      </c>
      <c r="H28" s="7">
        <v>30.917253284785353</v>
      </c>
      <c r="I28" s="7">
        <v>37.230601276550217</v>
      </c>
      <c r="J28" s="7">
        <v>34.575753940158584</v>
      </c>
      <c r="K28" s="7">
        <v>33.639404441057302</v>
      </c>
      <c r="L28" s="7">
        <v>20.905237118632463</v>
      </c>
      <c r="M28" s="7">
        <v>38.425822924917803</v>
      </c>
      <c r="N28" s="7">
        <v>25.296490453890925</v>
      </c>
      <c r="O28" s="7">
        <v>40.634504485025992</v>
      </c>
      <c r="P28" s="7">
        <v>394.86614425570247</v>
      </c>
      <c r="Q28" s="7">
        <v>41.973444875745479</v>
      </c>
      <c r="R28" s="7">
        <v>36.134210017683785</v>
      </c>
      <c r="S28" s="7">
        <v>40.071434290384289</v>
      </c>
      <c r="T28" s="7">
        <v>39.247520721407497</v>
      </c>
      <c r="U28" s="7">
        <v>40.570322312774103</v>
      </c>
      <c r="V28" s="7">
        <v>39.746408743797303</v>
      </c>
      <c r="W28" s="7">
        <v>40.663863816972196</v>
      </c>
      <c r="X28" s="7">
        <v>51.913181101835463</v>
      </c>
      <c r="Y28" s="7">
        <v>49.036759060743222</v>
      </c>
      <c r="Z28" s="7">
        <v>36.409263614028035</v>
      </c>
      <c r="AA28" s="7">
        <v>0</v>
      </c>
      <c r="AB28" s="7">
        <v>0</v>
      </c>
      <c r="AC28" s="7">
        <v>415.76640855537136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</row>
    <row r="29" spans="1:35" x14ac:dyDescent="0.3">
      <c r="A29" s="48" t="s">
        <v>184</v>
      </c>
      <c r="B29" s="48" t="s">
        <v>184</v>
      </c>
      <c r="C29" s="6" t="s">
        <v>13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</row>
    <row r="30" spans="1:35" x14ac:dyDescent="0.3">
      <c r="A30" s="48" t="s">
        <v>184</v>
      </c>
      <c r="B30" s="48" t="s">
        <v>184</v>
      </c>
      <c r="C30" s="6" t="s">
        <v>14</v>
      </c>
      <c r="D30" s="7">
        <v>61.514363696980141</v>
      </c>
      <c r="E30" s="7">
        <v>53.447354386827392</v>
      </c>
      <c r="F30" s="7">
        <v>59.153884406662073</v>
      </c>
      <c r="G30" s="7">
        <v>57.851679922157977</v>
      </c>
      <c r="H30" s="7">
        <v>59.728937393285307</v>
      </c>
      <c r="I30" s="7">
        <v>59.866223000268945</v>
      </c>
      <c r="J30" s="7">
        <v>62.087461406286359</v>
      </c>
      <c r="K30" s="7">
        <v>61.540073835753333</v>
      </c>
      <c r="L30" s="7">
        <v>60.828549866449535</v>
      </c>
      <c r="M30" s="7">
        <v>61.514363696980141</v>
      </c>
      <c r="N30" s="7">
        <v>60.944310934723639</v>
      </c>
      <c r="O30" s="7">
        <v>61.12095048192711</v>
      </c>
      <c r="P30" s="7">
        <v>719.59815302830191</v>
      </c>
      <c r="Q30" s="7">
        <v>62.24986152379185</v>
      </c>
      <c r="R30" s="7">
        <v>56.098811142530934</v>
      </c>
      <c r="S30" s="7">
        <v>57.938157425063835</v>
      </c>
      <c r="T30" s="7">
        <v>58.737579042881407</v>
      </c>
      <c r="U30" s="7">
        <v>62.366217756003621</v>
      </c>
      <c r="V30" s="7">
        <v>60.646746165243904</v>
      </c>
      <c r="W30" s="7">
        <v>62.674162529500435</v>
      </c>
      <c r="X30" s="7">
        <v>63.424264488662416</v>
      </c>
      <c r="Y30" s="7">
        <v>60.373955685523214</v>
      </c>
      <c r="Z30" s="7">
        <v>33.394885279615139</v>
      </c>
      <c r="AA30" s="7">
        <v>31.823640252209099</v>
      </c>
      <c r="AB30" s="7">
        <v>31.480575885956995</v>
      </c>
      <c r="AC30" s="7">
        <v>641.20885717698275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</row>
    <row r="31" spans="1:35" x14ac:dyDescent="0.3">
      <c r="A31" s="48" t="s">
        <v>184</v>
      </c>
      <c r="B31" s="48" t="s">
        <v>184</v>
      </c>
      <c r="C31" s="6" t="s">
        <v>15</v>
      </c>
      <c r="D31" s="7">
        <v>59.46755098242437</v>
      </c>
      <c r="E31" s="7">
        <v>53.621279108298104</v>
      </c>
      <c r="F31" s="7">
        <v>57.185613657486435</v>
      </c>
      <c r="G31" s="7">
        <v>58.025611574262065</v>
      </c>
      <c r="H31" s="7">
        <v>59.82463624316334</v>
      </c>
      <c r="I31" s="7">
        <v>59.988406299507162</v>
      </c>
      <c r="J31" s="7">
        <v>59.93771611704063</v>
      </c>
      <c r="K31" s="7">
        <v>61.66148282440458</v>
      </c>
      <c r="L31" s="7">
        <v>58.858525346942727</v>
      </c>
      <c r="M31" s="7">
        <v>62.7705896442598</v>
      </c>
      <c r="N31" s="7">
        <v>59.988406299507162</v>
      </c>
      <c r="O31" s="7">
        <v>61.216037292763453</v>
      </c>
      <c r="P31" s="7">
        <v>712.54585539005973</v>
      </c>
      <c r="Q31" s="7">
        <v>60.437130618007373</v>
      </c>
      <c r="R31" s="7">
        <v>54.246467549696803</v>
      </c>
      <c r="S31" s="7">
        <v>58.355993195491514</v>
      </c>
      <c r="T31" s="7">
        <v>59.087821954582886</v>
      </c>
      <c r="U31" s="7">
        <v>62.757559913604361</v>
      </c>
      <c r="V31" s="7">
        <v>58.722555289250643</v>
      </c>
      <c r="W31" s="7">
        <v>63.067616885329812</v>
      </c>
      <c r="X31" s="7">
        <v>61.707306178625053</v>
      </c>
      <c r="Y31" s="7">
        <v>62.249312438089454</v>
      </c>
      <c r="Z31" s="7">
        <v>63.093161838276032</v>
      </c>
      <c r="AA31" s="7">
        <v>61.147835187393305</v>
      </c>
      <c r="AB31" s="7">
        <v>61.60210763909722</v>
      </c>
      <c r="AC31" s="7">
        <v>726.47486868744443</v>
      </c>
      <c r="AD31" s="7">
        <v>185.069081671867</v>
      </c>
      <c r="AE31" s="7">
        <v>193.12078840367701</v>
      </c>
      <c r="AF31" s="7">
        <v>199.67178838289999</v>
      </c>
      <c r="AG31" s="7">
        <v>197.70543049443299</v>
      </c>
      <c r="AH31" s="7">
        <v>775.56708895287704</v>
      </c>
      <c r="AI31" s="8">
        <v>175.81562758827368</v>
      </c>
    </row>
    <row r="32" spans="1:35" x14ac:dyDescent="0.3">
      <c r="A32" s="48" t="s">
        <v>184</v>
      </c>
      <c r="B32" s="48" t="s">
        <v>184</v>
      </c>
      <c r="C32" s="6" t="s">
        <v>16</v>
      </c>
      <c r="D32" s="7">
        <v>347.41060691903135</v>
      </c>
      <c r="E32" s="7">
        <v>335.38258522358609</v>
      </c>
      <c r="F32" s="7">
        <v>334.98345985224171</v>
      </c>
      <c r="G32" s="7">
        <v>367.07631415863301</v>
      </c>
      <c r="H32" s="7">
        <v>351.09859614954593</v>
      </c>
      <c r="I32" s="7">
        <v>366.53220467809444</v>
      </c>
      <c r="J32" s="7">
        <v>365.40217341479951</v>
      </c>
      <c r="K32" s="7">
        <v>365.96224256950183</v>
      </c>
      <c r="L32" s="7">
        <v>328.04872877472428</v>
      </c>
      <c r="M32" s="7">
        <v>379.65847795436798</v>
      </c>
      <c r="N32" s="7">
        <v>341.20148460561762</v>
      </c>
      <c r="O32" s="7">
        <v>380.26681527267203</v>
      </c>
      <c r="P32" s="7">
        <v>4263.0236895728167</v>
      </c>
      <c r="Q32" s="7">
        <v>340.79444577985964</v>
      </c>
      <c r="R32" s="7">
        <v>326.78955146909635</v>
      </c>
      <c r="S32" s="7">
        <v>352.33903707233026</v>
      </c>
      <c r="T32" s="7">
        <v>358.43395684694843</v>
      </c>
      <c r="U32" s="7">
        <v>345.07256393674038</v>
      </c>
      <c r="V32" s="7">
        <v>357.91046226998105</v>
      </c>
      <c r="W32" s="7">
        <v>351.27281468815033</v>
      </c>
      <c r="X32" s="7">
        <v>370.0823615416582</v>
      </c>
      <c r="Y32" s="7">
        <v>305.89199757644656</v>
      </c>
      <c r="Z32" s="7">
        <v>362.50668814908545</v>
      </c>
      <c r="AA32" s="7">
        <v>327.21151914029082</v>
      </c>
      <c r="AB32" s="7">
        <v>362.50668814908545</v>
      </c>
      <c r="AC32" s="7">
        <v>4160.8120866196732</v>
      </c>
      <c r="AD32" s="7">
        <v>1035.1546804316199</v>
      </c>
      <c r="AE32" s="7">
        <v>1070.2136707370601</v>
      </c>
      <c r="AF32" s="7">
        <v>1042.8749226980201</v>
      </c>
      <c r="AG32" s="7">
        <v>1082.6820486501399</v>
      </c>
      <c r="AH32" s="7">
        <v>4230.9253225168404</v>
      </c>
      <c r="AI32" s="8">
        <v>955.13768724432907</v>
      </c>
    </row>
    <row r="34" spans="5:15" x14ac:dyDescent="0.3"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B872-1B69-4849-A5C3-4C29CEC0BE99}">
  <sheetPr>
    <outlinePr summaryBelow="0"/>
  </sheetPr>
  <dimension ref="A1:AG19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28" sqref="H28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" width="14.44140625" style="13" customWidth="1"/>
    <col min="4" max="4" width="17" style="13" customWidth="1"/>
    <col min="5" max="6" width="14" style="13" customWidth="1"/>
    <col min="7" max="7" width="14.109375" style="13" customWidth="1"/>
    <col min="8" max="8" width="14" style="13" customWidth="1"/>
    <col min="9" max="9" width="14.109375" style="13" customWidth="1"/>
    <col min="10" max="11" width="14" style="13" customWidth="1"/>
    <col min="12" max="12" width="14.109375" style="13" customWidth="1"/>
    <col min="13" max="13" width="14" style="13" customWidth="1"/>
    <col min="14" max="14" width="14.109375" style="13" customWidth="1"/>
    <col min="15" max="16" width="14" style="13" customWidth="1"/>
    <col min="17" max="17" width="14.109375" style="13" customWidth="1"/>
    <col min="18" max="18" width="14" style="13" customWidth="1"/>
    <col min="19" max="19" width="14.109375" style="13" customWidth="1"/>
    <col min="20" max="21" width="14" style="13" customWidth="1"/>
    <col min="22" max="22" width="14.109375" style="13" customWidth="1"/>
    <col min="23" max="23" width="14" style="13" customWidth="1"/>
    <col min="24" max="24" width="14.109375" style="13" customWidth="1"/>
    <col min="25" max="26" width="14" style="13" customWidth="1"/>
    <col min="27" max="27" width="14.109375" style="13" customWidth="1"/>
    <col min="28" max="28" width="14" style="13" customWidth="1"/>
    <col min="29" max="29" width="14.109375" style="13" customWidth="1"/>
    <col min="30" max="31" width="14" style="13" customWidth="1"/>
    <col min="32" max="32" width="14.109375" style="13" customWidth="1"/>
    <col min="33" max="33" width="14" style="13" customWidth="1"/>
    <col min="34" max="16384" width="8.88671875" style="13"/>
  </cols>
  <sheetData>
    <row r="1" spans="1:33" ht="13.5" customHeight="1" x14ac:dyDescent="0.3">
      <c r="D1" s="29" t="s">
        <v>201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0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4</v>
      </c>
      <c r="AD1" s="51" t="s">
        <v>4</v>
      </c>
      <c r="AE1" s="51" t="s">
        <v>4</v>
      </c>
      <c r="AF1" s="51" t="s">
        <v>4</v>
      </c>
      <c r="AG1" s="31" t="s">
        <v>6</v>
      </c>
    </row>
    <row r="2" spans="1:33" ht="12.75" customHeight="1" x14ac:dyDescent="0.3">
      <c r="D2" s="29" t="s">
        <v>211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43</v>
      </c>
      <c r="J2" s="31" t="s">
        <v>44</v>
      </c>
      <c r="K2" s="31" t="s">
        <v>45</v>
      </c>
      <c r="L2" s="31" t="s">
        <v>46</v>
      </c>
      <c r="M2" s="31" t="s">
        <v>47</v>
      </c>
      <c r="N2" s="31" t="s">
        <v>48</v>
      </c>
      <c r="O2" s="31" t="s">
        <v>49</v>
      </c>
      <c r="P2" s="31" t="s">
        <v>50</v>
      </c>
      <c r="Q2" s="31" t="s">
        <v>39</v>
      </c>
      <c r="R2" s="31" t="s">
        <v>40</v>
      </c>
      <c r="S2" s="31" t="s">
        <v>41</v>
      </c>
      <c r="T2" s="31" t="s">
        <v>42</v>
      </c>
      <c r="U2" s="31" t="s">
        <v>43</v>
      </c>
      <c r="V2" s="31" t="s">
        <v>44</v>
      </c>
      <c r="W2" s="31" t="s">
        <v>45</v>
      </c>
      <c r="X2" s="31" t="s">
        <v>46</v>
      </c>
      <c r="Y2" s="31" t="s">
        <v>47</v>
      </c>
      <c r="Z2" s="31" t="s">
        <v>48</v>
      </c>
      <c r="AA2" s="31" t="s">
        <v>49</v>
      </c>
      <c r="AB2" s="31" t="s">
        <v>50</v>
      </c>
      <c r="AC2" s="31" t="s">
        <v>185</v>
      </c>
      <c r="AD2" s="31" t="s">
        <v>187</v>
      </c>
      <c r="AE2" s="31" t="s">
        <v>188</v>
      </c>
      <c r="AF2" s="31" t="s">
        <v>189</v>
      </c>
      <c r="AG2" s="31" t="s">
        <v>186</v>
      </c>
    </row>
    <row r="3" spans="1:33" ht="13.5" customHeight="1" x14ac:dyDescent="0.3">
      <c r="A3" s="31" t="s">
        <v>180</v>
      </c>
      <c r="B3" s="31" t="s">
        <v>206</v>
      </c>
      <c r="C3" s="31" t="s">
        <v>194</v>
      </c>
      <c r="D3" s="31" t="s">
        <v>195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2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2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  <c r="AG3" s="32" t="s">
        <v>200</v>
      </c>
    </row>
    <row r="4" spans="1:33" ht="12.75" customHeight="1" x14ac:dyDescent="0.3">
      <c r="A4" s="49" t="s">
        <v>193</v>
      </c>
      <c r="B4" s="29" t="s">
        <v>17</v>
      </c>
      <c r="C4" s="29" t="s">
        <v>197</v>
      </c>
      <c r="D4" s="31" t="s">
        <v>101</v>
      </c>
      <c r="E4" s="1">
        <v>137.90618490265601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t="13.5" customHeight="1" x14ac:dyDescent="0.3">
      <c r="A5" s="49" t="s">
        <v>193</v>
      </c>
      <c r="B5" s="29" t="s">
        <v>17</v>
      </c>
      <c r="C5" s="29" t="s">
        <v>197</v>
      </c>
      <c r="D5" s="31" t="s">
        <v>196</v>
      </c>
      <c r="E5" s="1">
        <v>178.632135157943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2.75" customHeight="1" x14ac:dyDescent="0.3">
      <c r="A6" s="49" t="s">
        <v>193</v>
      </c>
      <c r="B6" s="29" t="s">
        <v>17</v>
      </c>
      <c r="C6" s="29" t="s">
        <v>197</v>
      </c>
      <c r="D6" s="31" t="s">
        <v>181</v>
      </c>
      <c r="E6" s="1">
        <v>116.717775786115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2.75" customHeight="1" x14ac:dyDescent="0.3">
      <c r="A7" s="49" t="s">
        <v>193</v>
      </c>
      <c r="B7" s="29" t="s">
        <v>18</v>
      </c>
      <c r="C7" s="29" t="s">
        <v>197</v>
      </c>
      <c r="D7" s="31" t="s">
        <v>101</v>
      </c>
      <c r="E7" s="1">
        <v>1.23604948067549</v>
      </c>
      <c r="F7" s="1">
        <v>36.824058353494301</v>
      </c>
      <c r="G7" s="1">
        <v>37.692414968905702</v>
      </c>
      <c r="H7" s="1">
        <v>56.742599289346401</v>
      </c>
      <c r="I7" s="1">
        <v>34.631195825932998</v>
      </c>
      <c r="J7" s="1">
        <v>45.161241273140398</v>
      </c>
      <c r="K7" s="1">
        <v>22.2505165657075</v>
      </c>
      <c r="L7" s="1">
        <v>48.689134096511602</v>
      </c>
      <c r="M7" s="1">
        <v>87.911485680803196</v>
      </c>
      <c r="N7" s="1">
        <v>39.299835954514101</v>
      </c>
      <c r="O7" s="1">
        <v>175.4818166977866</v>
      </c>
      <c r="P7" s="1">
        <v>356.33239600587081</v>
      </c>
      <c r="Q7" s="1">
        <v>111.5987482520388</v>
      </c>
      <c r="R7" s="1">
        <v>254.08268092141199</v>
      </c>
      <c r="S7" s="1">
        <v>389.75216609969601</v>
      </c>
      <c r="T7" s="1">
        <v>102.558796893248</v>
      </c>
      <c r="U7" s="1">
        <v>303.16482196594097</v>
      </c>
      <c r="V7" s="1">
        <v>516.43716797812499</v>
      </c>
      <c r="W7" s="1">
        <v>163.98127244959798</v>
      </c>
      <c r="X7" s="1">
        <v>521.19344255324097</v>
      </c>
      <c r="Y7" s="1">
        <v>232.92875939381099</v>
      </c>
      <c r="Z7" s="1">
        <v>202.73697595250749</v>
      </c>
      <c r="AA7" s="1">
        <v>643.89433552919797</v>
      </c>
      <c r="AB7" s="1">
        <v>227.39845989206108</v>
      </c>
      <c r="AC7" s="1">
        <v>1138.5422956539439</v>
      </c>
      <c r="AD7" s="1">
        <v>203.4858972772949</v>
      </c>
      <c r="AE7" s="1">
        <v>274.970863845596</v>
      </c>
      <c r="AF7" s="1">
        <v>85.680624025729998</v>
      </c>
      <c r="AG7" s="1">
        <v>0</v>
      </c>
    </row>
    <row r="8" spans="1:33" ht="13.5" customHeight="1" x14ac:dyDescent="0.3">
      <c r="A8" s="49" t="s">
        <v>193</v>
      </c>
      <c r="B8" s="29" t="s">
        <v>18</v>
      </c>
      <c r="C8" s="29" t="s">
        <v>197</v>
      </c>
      <c r="D8" s="31" t="s">
        <v>196</v>
      </c>
      <c r="E8" s="1">
        <v>661.53999616174406</v>
      </c>
      <c r="F8" s="1">
        <v>731.18376691211097</v>
      </c>
      <c r="G8" s="1">
        <v>1002.5755505191599</v>
      </c>
      <c r="H8" s="1">
        <v>631.14455234826096</v>
      </c>
      <c r="I8" s="1">
        <v>890.89569285353696</v>
      </c>
      <c r="J8" s="1">
        <v>648.22316470439205</v>
      </c>
      <c r="K8" s="1">
        <v>744.86507497492403</v>
      </c>
      <c r="L8" s="1">
        <v>1041.1682210705201</v>
      </c>
      <c r="M8" s="1">
        <v>760.44022541366303</v>
      </c>
      <c r="N8" s="1">
        <v>508.13764797004001</v>
      </c>
      <c r="O8" s="1">
        <v>650.66550374425594</v>
      </c>
      <c r="P8" s="1">
        <v>859.79962546229399</v>
      </c>
      <c r="Q8" s="1">
        <v>511.410677082544</v>
      </c>
      <c r="R8" s="1">
        <v>665.33726500098999</v>
      </c>
      <c r="S8" s="1">
        <v>708.58102125887604</v>
      </c>
      <c r="T8" s="1">
        <v>389.68780306946798</v>
      </c>
      <c r="U8" s="1">
        <v>473.54424112697598</v>
      </c>
      <c r="V8" s="1">
        <v>288.42132677388003</v>
      </c>
      <c r="W8" s="1">
        <v>343.55042658608801</v>
      </c>
      <c r="X8" s="1">
        <v>456.41753090317798</v>
      </c>
      <c r="Y8" s="1">
        <v>351.02772648136101</v>
      </c>
      <c r="Z8" s="1">
        <v>429.01258259706498</v>
      </c>
      <c r="AA8" s="1">
        <v>642.55469584661103</v>
      </c>
      <c r="AB8" s="1">
        <v>752.44260201314603</v>
      </c>
      <c r="AC8" s="1">
        <v>2258.5413323932098</v>
      </c>
      <c r="AD8" s="1">
        <v>943.35771359559999</v>
      </c>
      <c r="AE8" s="1">
        <v>857.56994278903903</v>
      </c>
      <c r="AF8" s="1">
        <v>52.349823554778801</v>
      </c>
      <c r="AG8" s="1"/>
    </row>
    <row r="9" spans="1:33" ht="12.75" customHeight="1" x14ac:dyDescent="0.3">
      <c r="A9" s="49" t="s">
        <v>193</v>
      </c>
      <c r="B9" s="29" t="s">
        <v>18</v>
      </c>
      <c r="C9" s="29" t="s">
        <v>197</v>
      </c>
      <c r="D9" s="31" t="s">
        <v>181</v>
      </c>
      <c r="E9" s="1">
        <v>17.8877153553006</v>
      </c>
      <c r="F9" s="1">
        <v>56.644735513971099</v>
      </c>
      <c r="G9" s="1">
        <v>29.602850926078101</v>
      </c>
      <c r="H9" s="1">
        <v>82.872898316412304</v>
      </c>
      <c r="I9" s="1">
        <v>38.331113813104999</v>
      </c>
      <c r="J9" s="1">
        <v>66.409275662984101</v>
      </c>
      <c r="K9" s="1">
        <v>37.615868574139803</v>
      </c>
      <c r="L9" s="1">
        <v>44.854884421258298</v>
      </c>
      <c r="M9" s="1">
        <v>49.577393604102497</v>
      </c>
      <c r="N9" s="1">
        <v>63.895984726613598</v>
      </c>
      <c r="O9" s="1">
        <v>234.50172040039101</v>
      </c>
      <c r="P9" s="1">
        <v>54.995432119100101</v>
      </c>
      <c r="Q9" s="1">
        <v>138.87424555621399</v>
      </c>
      <c r="R9" s="1">
        <v>99.1880232159331</v>
      </c>
      <c r="S9" s="1">
        <v>135.91831502642799</v>
      </c>
      <c r="T9" s="1">
        <v>195.36308000702999</v>
      </c>
      <c r="U9" s="1">
        <v>94.139810473984298</v>
      </c>
      <c r="V9" s="1">
        <v>103.73282737744</v>
      </c>
      <c r="W9" s="1">
        <v>103.13942722349201</v>
      </c>
      <c r="X9" s="1">
        <v>124.975449972894</v>
      </c>
      <c r="Y9" s="1">
        <v>127.06677036874601</v>
      </c>
      <c r="Z9" s="1">
        <v>191.85619056856899</v>
      </c>
      <c r="AA9" s="1">
        <v>18.890804542727999</v>
      </c>
      <c r="AB9" s="1">
        <v>144.14325702821299</v>
      </c>
      <c r="AC9" s="1">
        <v>375.36933280133502</v>
      </c>
      <c r="AD9" s="1">
        <v>503.00351789846201</v>
      </c>
      <c r="AE9" s="1">
        <v>424.47554168020298</v>
      </c>
      <c r="AF9" s="1">
        <v>63.888479286164703</v>
      </c>
      <c r="AG9" s="1"/>
    </row>
    <row r="10" spans="1:33" ht="12.75" customHeight="1" x14ac:dyDescent="0.3">
      <c r="A10" s="49" t="s">
        <v>193</v>
      </c>
      <c r="B10" s="29" t="s">
        <v>18</v>
      </c>
      <c r="C10" s="31" t="s">
        <v>198</v>
      </c>
      <c r="D10" s="31" t="s">
        <v>196</v>
      </c>
      <c r="E10" s="1">
        <v>218.33606400228001</v>
      </c>
      <c r="F10" s="1">
        <v>310.34736422042403</v>
      </c>
      <c r="G10" s="1">
        <v>204.129358585853</v>
      </c>
      <c r="H10" s="1">
        <v>554.24002504598104</v>
      </c>
      <c r="I10" s="1">
        <v>196.141672507425</v>
      </c>
      <c r="J10" s="1">
        <v>410.20589335948398</v>
      </c>
      <c r="K10" s="1">
        <v>461.26858988522798</v>
      </c>
      <c r="L10" s="1">
        <v>201.28813541171399</v>
      </c>
      <c r="M10" s="1">
        <v>520.07127030143204</v>
      </c>
      <c r="N10" s="1">
        <v>751.69485454145695</v>
      </c>
      <c r="O10" s="1">
        <v>416.35135915756598</v>
      </c>
      <c r="P10" s="1">
        <v>369.87294641273502</v>
      </c>
      <c r="Q10" s="1">
        <v>1055.0549041091999</v>
      </c>
      <c r="R10" s="1">
        <v>730.80311096411697</v>
      </c>
      <c r="S10" s="1">
        <v>470.548997614999</v>
      </c>
      <c r="T10" s="1">
        <v>1104.3779899286999</v>
      </c>
      <c r="U10" s="1">
        <v>812.84881915023504</v>
      </c>
      <c r="V10" s="1">
        <v>731.108135528557</v>
      </c>
      <c r="W10" s="1">
        <v>1029.1976737408199</v>
      </c>
      <c r="X10" s="1">
        <v>280.88584982317201</v>
      </c>
      <c r="Y10" s="1">
        <v>767.67454359607495</v>
      </c>
      <c r="Z10" s="1">
        <v>869.17786730179205</v>
      </c>
      <c r="AA10" s="1">
        <v>415.06739465424198</v>
      </c>
      <c r="AB10" s="1">
        <v>676.45893106658002</v>
      </c>
      <c r="AC10" s="1">
        <v>543.05533915151</v>
      </c>
      <c r="AD10" s="1">
        <v>544.55248570609001</v>
      </c>
      <c r="AE10" s="1">
        <v>458.69599229068899</v>
      </c>
      <c r="AF10" s="1"/>
      <c r="AG10" s="1"/>
    </row>
    <row r="11" spans="1:33" ht="12.75" customHeight="1" x14ac:dyDescent="0.3">
      <c r="A11" s="49" t="s">
        <v>193</v>
      </c>
      <c r="B11" s="29" t="s">
        <v>20</v>
      </c>
      <c r="C11" s="29" t="s">
        <v>197</v>
      </c>
      <c r="D11" s="31" t="s">
        <v>101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0.137564660937641</v>
      </c>
      <c r="S11" s="1">
        <v>1.9778766013524001</v>
      </c>
      <c r="T11" s="1">
        <v>7.0952732817907203</v>
      </c>
      <c r="U11" s="1">
        <v>0.77385451631562296</v>
      </c>
      <c r="V11" s="1">
        <v>1.4188177090021099</v>
      </c>
      <c r="W11" s="1">
        <v>8.0862507956669507</v>
      </c>
      <c r="X11" s="1">
        <v>14.4650743304279</v>
      </c>
      <c r="Y11" s="1">
        <v>46.740709375934003</v>
      </c>
      <c r="Z11" s="1">
        <v>9.0287064635587395</v>
      </c>
      <c r="AA11" s="1">
        <v>55.152482484617899</v>
      </c>
      <c r="AB11" s="1">
        <v>26.533399787153691</v>
      </c>
      <c r="AC11" s="1">
        <v>438.71678878770223</v>
      </c>
      <c r="AD11" s="1">
        <v>380.49057945827303</v>
      </c>
      <c r="AE11" s="1">
        <v>184.34312860402099</v>
      </c>
      <c r="AF11" s="1">
        <v>181.57254129438761</v>
      </c>
      <c r="AG11" s="1">
        <v>650.641357883551</v>
      </c>
    </row>
    <row r="12" spans="1:33" ht="13.5" customHeight="1" x14ac:dyDescent="0.3">
      <c r="A12" s="49" t="s">
        <v>193</v>
      </c>
      <c r="B12" s="29" t="s">
        <v>20</v>
      </c>
      <c r="C12" s="29" t="s">
        <v>197</v>
      </c>
      <c r="D12" s="31" t="s">
        <v>196</v>
      </c>
      <c r="E12" s="1"/>
      <c r="F12" s="1">
        <v>46.7853641298328</v>
      </c>
      <c r="G12" s="1">
        <v>96.603141559596693</v>
      </c>
      <c r="H12" s="1">
        <v>84.7920805691178</v>
      </c>
      <c r="I12" s="1">
        <v>73.789881933091806</v>
      </c>
      <c r="J12" s="1">
        <v>58.983764319977197</v>
      </c>
      <c r="K12" s="1">
        <v>72.357483347632794</v>
      </c>
      <c r="L12" s="1">
        <v>88.999724999999899</v>
      </c>
      <c r="M12" s="1">
        <v>66.384825751495299</v>
      </c>
      <c r="N12" s="1">
        <v>72.373287442667504</v>
      </c>
      <c r="O12" s="1">
        <v>99.184883166536594</v>
      </c>
      <c r="P12" s="1">
        <v>88.589488543290997</v>
      </c>
      <c r="Q12" s="1">
        <v>467.21321022692899</v>
      </c>
      <c r="R12" s="1">
        <v>435.85621409672399</v>
      </c>
      <c r="S12" s="1">
        <v>520.57599826329704</v>
      </c>
      <c r="T12" s="1">
        <v>426.83543071516903</v>
      </c>
      <c r="U12" s="1">
        <v>353.98344720896102</v>
      </c>
      <c r="V12" s="1">
        <v>291.28411219042698</v>
      </c>
      <c r="W12" s="1">
        <v>400.46520813139301</v>
      </c>
      <c r="X12" s="1">
        <v>361.51356654452599</v>
      </c>
      <c r="Y12" s="1">
        <v>282.37213289925</v>
      </c>
      <c r="Z12" s="1">
        <v>288.62380419920902</v>
      </c>
      <c r="AA12" s="1">
        <v>186.096239105824</v>
      </c>
      <c r="AB12" s="1">
        <v>392.48870077946202</v>
      </c>
      <c r="AC12" s="1">
        <v>1153.35309439195</v>
      </c>
      <c r="AD12" s="1">
        <v>2858.3851266124502</v>
      </c>
      <c r="AE12" s="1">
        <v>3323.6455221144302</v>
      </c>
      <c r="AF12" s="1">
        <v>3592.2290814825901</v>
      </c>
      <c r="AG12" s="1">
        <v>3213.0178243008399</v>
      </c>
    </row>
    <row r="13" spans="1:33" ht="12.75" customHeight="1" x14ac:dyDescent="0.3">
      <c r="A13" s="49" t="s">
        <v>193</v>
      </c>
      <c r="B13" s="29" t="s">
        <v>20</v>
      </c>
      <c r="C13" s="29" t="s">
        <v>197</v>
      </c>
      <c r="D13" s="31" t="s">
        <v>181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2.0678879823007801</v>
      </c>
      <c r="X13" s="1"/>
      <c r="Y13" s="1">
        <v>1.1006045659014501</v>
      </c>
      <c r="Z13" s="1">
        <v>8.6076394123805494E-2</v>
      </c>
      <c r="AA13" s="1"/>
      <c r="AB13" s="1">
        <v>7.1106266282952602</v>
      </c>
      <c r="AC13" s="1">
        <v>10.1496916078178</v>
      </c>
      <c r="AD13" s="1">
        <v>389.22649716115899</v>
      </c>
      <c r="AE13" s="1">
        <v>182.42614200158701</v>
      </c>
      <c r="AF13" s="1">
        <v>239.14124334196299</v>
      </c>
      <c r="AG13" s="1">
        <v>543.51960506046305</v>
      </c>
    </row>
    <row r="14" spans="1:33" ht="13.5" customHeight="1" x14ac:dyDescent="0.3">
      <c r="A14" s="49" t="s">
        <v>193</v>
      </c>
      <c r="B14" s="29" t="s">
        <v>20</v>
      </c>
      <c r="C14" s="31" t="s">
        <v>198</v>
      </c>
      <c r="D14" s="31" t="s">
        <v>196</v>
      </c>
      <c r="E14" s="1"/>
      <c r="F14" s="1">
        <v>35.2146358701672</v>
      </c>
      <c r="G14" s="1">
        <v>3.3968834404032999</v>
      </c>
      <c r="H14" s="1">
        <v>11.208394430882199</v>
      </c>
      <c r="I14" s="1">
        <v>22.210593066908299</v>
      </c>
      <c r="J14" s="1">
        <v>29.0165856800227</v>
      </c>
      <c r="K14" s="1">
        <v>12.642691652367199</v>
      </c>
      <c r="L14" s="1"/>
      <c r="M14" s="1">
        <v>24.614674248504699</v>
      </c>
      <c r="N14" s="1">
        <v>27.6267375573325</v>
      </c>
      <c r="O14" s="1">
        <v>0.815141833463358</v>
      </c>
      <c r="P14" s="1">
        <v>18.410261456709001</v>
      </c>
      <c r="Q14" s="1">
        <v>50.0987992152372</v>
      </c>
      <c r="R14" s="1">
        <v>33.257504736372297</v>
      </c>
      <c r="S14" s="1">
        <v>67.531866914727402</v>
      </c>
      <c r="T14" s="1">
        <v>37.2649920942915</v>
      </c>
      <c r="U14" s="1">
        <v>2.0364213715016302</v>
      </c>
      <c r="V14" s="1">
        <v>49.217490700641498</v>
      </c>
      <c r="W14" s="1">
        <v>61.060053509641598</v>
      </c>
      <c r="X14" s="1">
        <v>9.8365317950135598</v>
      </c>
      <c r="Y14" s="1">
        <v>60.362692876334499</v>
      </c>
      <c r="Z14" s="1">
        <v>38.505533005431197</v>
      </c>
      <c r="AA14" s="1">
        <v>27.427414607095098</v>
      </c>
      <c r="AB14" s="1">
        <v>60.137582474121501</v>
      </c>
      <c r="AC14" s="1">
        <v>220.698135324389</v>
      </c>
      <c r="AD14" s="1">
        <v>118.293523684688</v>
      </c>
      <c r="AE14" s="1">
        <v>182.26007361500601</v>
      </c>
      <c r="AF14" s="1">
        <v>41.354433881055201</v>
      </c>
      <c r="AG14" s="1">
        <v>52.149312755143498</v>
      </c>
    </row>
    <row r="15" spans="1:33" ht="12.75" customHeight="1" x14ac:dyDescent="0.3">
      <c r="A15" s="49" t="s">
        <v>193</v>
      </c>
      <c r="B15" s="29" t="s">
        <v>22</v>
      </c>
      <c r="C15" s="29" t="s">
        <v>197</v>
      </c>
      <c r="D15" s="31" t="s">
        <v>101</v>
      </c>
      <c r="E15" s="1">
        <v>0</v>
      </c>
      <c r="F15" s="1">
        <v>0</v>
      </c>
      <c r="G15" s="1">
        <v>0</v>
      </c>
      <c r="H15" s="1">
        <v>0</v>
      </c>
      <c r="I15" s="1">
        <v>0.720493424147992</v>
      </c>
      <c r="J15" s="1">
        <v>3.5844736631419698</v>
      </c>
      <c r="K15" s="1">
        <v>9.8418472101667405</v>
      </c>
      <c r="L15" s="1">
        <v>0.69840848940202682</v>
      </c>
      <c r="M15" s="1">
        <v>5.6319913815168494</v>
      </c>
      <c r="N15" s="1">
        <v>6.1635637411982698</v>
      </c>
      <c r="O15" s="1">
        <v>2.0066622763648998</v>
      </c>
      <c r="P15" s="1">
        <v>1.7950763066900799</v>
      </c>
      <c r="Q15" s="1">
        <v>11.831230290588501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ht="13.5" customHeight="1" x14ac:dyDescent="0.3">
      <c r="A16" s="49" t="s">
        <v>193</v>
      </c>
      <c r="B16" s="29" t="s">
        <v>22</v>
      </c>
      <c r="C16" s="29" t="s">
        <v>197</v>
      </c>
      <c r="D16" s="31" t="s">
        <v>196</v>
      </c>
      <c r="E16" s="1"/>
      <c r="F16" s="1">
        <v>88.695534720991006</v>
      </c>
      <c r="G16" s="1">
        <v>197.75158441750901</v>
      </c>
      <c r="H16" s="1">
        <v>223.23868202203599</v>
      </c>
      <c r="I16" s="1">
        <v>209.403208981539</v>
      </c>
      <c r="J16" s="1">
        <v>225.93576190597599</v>
      </c>
      <c r="K16" s="1">
        <v>229.46300313354399</v>
      </c>
      <c r="L16" s="1">
        <v>233.67541793995801</v>
      </c>
      <c r="M16" s="1">
        <v>244.62700866028101</v>
      </c>
      <c r="N16" s="1">
        <v>233.05084344837201</v>
      </c>
      <c r="O16" s="1">
        <v>210.764489705964</v>
      </c>
      <c r="P16" s="1">
        <v>227.57291956561201</v>
      </c>
      <c r="Q16" s="1">
        <v>61.863785771855497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3.5" customHeight="1" x14ac:dyDescent="0.3">
      <c r="A17" s="49" t="s">
        <v>193</v>
      </c>
      <c r="B17" s="29" t="s">
        <v>22</v>
      </c>
      <c r="C17" s="29" t="s">
        <v>197</v>
      </c>
      <c r="D17" s="31" t="s">
        <v>181</v>
      </c>
      <c r="E17" s="1"/>
      <c r="F17" s="1"/>
      <c r="G17" s="1"/>
      <c r="H17" s="1">
        <v>5.6267984243597304</v>
      </c>
      <c r="I17" s="1">
        <v>0.61136534611524196</v>
      </c>
      <c r="J17" s="1">
        <v>4.93361589077315</v>
      </c>
      <c r="K17" s="1">
        <v>1.06864260997303</v>
      </c>
      <c r="L17" s="1">
        <v>1.5269256832521201</v>
      </c>
      <c r="M17" s="1">
        <v>1.98180503175081</v>
      </c>
      <c r="N17" s="1">
        <v>10.7851428104292</v>
      </c>
      <c r="O17" s="1">
        <v>16.435836507070501</v>
      </c>
      <c r="P17" s="1"/>
      <c r="Q17" s="1">
        <v>36.232133937555901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3.5" customHeight="1" x14ac:dyDescent="0.3">
      <c r="A18" s="49" t="s">
        <v>193</v>
      </c>
      <c r="B18" s="29" t="s">
        <v>22</v>
      </c>
      <c r="C18" s="31" t="s">
        <v>198</v>
      </c>
      <c r="D18" s="31" t="s">
        <v>196</v>
      </c>
      <c r="E18" s="1"/>
      <c r="F18" s="1">
        <v>161.30401527900901</v>
      </c>
      <c r="G18" s="1">
        <v>72.248790582490599</v>
      </c>
      <c r="H18" s="1">
        <v>4.1344445536044399</v>
      </c>
      <c r="I18" s="1">
        <v>50.264782248197797</v>
      </c>
      <c r="J18" s="1">
        <v>6.5461985401087404</v>
      </c>
      <c r="K18" s="1">
        <v>7.6262820463162297</v>
      </c>
      <c r="L18" s="1">
        <v>4.0988978873873796</v>
      </c>
      <c r="M18" s="1">
        <v>7.7596699264515303</v>
      </c>
      <c r="N18" s="1"/>
      <c r="O18" s="1">
        <v>20.7925615106005</v>
      </c>
      <c r="P18" s="1">
        <v>5.6317041276981703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3.5" customHeight="1" x14ac:dyDescent="0.3">
      <c r="A19" s="51" t="s">
        <v>112</v>
      </c>
      <c r="B19" s="51" t="s">
        <v>112</v>
      </c>
      <c r="C19" s="51" t="s">
        <v>112</v>
      </c>
      <c r="D19" s="51" t="s">
        <v>112</v>
      </c>
      <c r="E19" s="1">
        <v>467.43997499855101</v>
      </c>
      <c r="F19" s="1">
        <v>504.33065950503402</v>
      </c>
      <c r="G19" s="1">
        <v>626.59160390001603</v>
      </c>
      <c r="H19" s="1">
        <v>496.28545683238099</v>
      </c>
      <c r="I19" s="1">
        <v>566.366115268199</v>
      </c>
      <c r="J19" s="1">
        <v>524.10383969246004</v>
      </c>
      <c r="K19" s="1">
        <v>622.26058256251304</v>
      </c>
      <c r="L19" s="1">
        <v>676.51724421835297</v>
      </c>
      <c r="M19" s="1">
        <v>574.67946398165998</v>
      </c>
      <c r="N19" s="1">
        <v>642.29679686832799</v>
      </c>
      <c r="O19" s="1">
        <v>248.67890270003801</v>
      </c>
      <c r="P19" s="1">
        <v>711.891199999994</v>
      </c>
      <c r="Q19" s="1">
        <v>424.13167499999997</v>
      </c>
      <c r="R19" s="1">
        <v>424.13167499999997</v>
      </c>
      <c r="S19" s="1">
        <v>424.131586065362</v>
      </c>
      <c r="T19" s="1">
        <v>429.396075</v>
      </c>
      <c r="U19" s="1">
        <v>429.396075</v>
      </c>
      <c r="V19" s="1">
        <v>429.396075</v>
      </c>
      <c r="W19" s="1">
        <v>440.50400000000002</v>
      </c>
      <c r="X19" s="1">
        <v>440.50384605063999</v>
      </c>
      <c r="Y19" s="1">
        <v>440.50399983999398</v>
      </c>
      <c r="Z19" s="1">
        <v>440.52746085379698</v>
      </c>
      <c r="AA19" s="1">
        <v>412.87781960977202</v>
      </c>
      <c r="AB19" s="1">
        <v>440.52757500000001</v>
      </c>
      <c r="AC19" s="1">
        <v>1101.3238328104801</v>
      </c>
      <c r="AD19" s="1">
        <v>402.68780541538001</v>
      </c>
      <c r="AE19" s="1">
        <v>705.56947554494104</v>
      </c>
      <c r="AF19" s="1">
        <v>1294.3499985572</v>
      </c>
      <c r="AG19" s="1">
        <v>775.75217081230801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4D0E-E8A8-45D4-90EB-F25AC97BDF64}">
  <sheetPr>
    <outlinePr summaryBelow="0"/>
  </sheetPr>
  <dimension ref="A1:AG32"/>
  <sheetViews>
    <sheetView showGridLines="0" workbookViewId="0">
      <pane xSplit="3" ySplit="3" topLeftCell="D4" activePane="bottomRight" state="frozen"/>
      <selection activeCell="R37" sqref="R37"/>
      <selection pane="topRight" activeCell="R37" sqref="R37"/>
      <selection pane="bottomLeft" activeCell="R37" sqref="R37"/>
      <selection pane="bottomRight" activeCell="H13" sqref="H13"/>
    </sheetView>
  </sheetViews>
  <sheetFormatPr defaultRowHeight="14.4" x14ac:dyDescent="0.3"/>
  <cols>
    <col min="1" max="1" width="8.88671875" style="13"/>
    <col min="2" max="2" width="16.109375" style="13" customWidth="1"/>
    <col min="3" max="3" width="8.21875" style="13" customWidth="1"/>
    <col min="4" max="4" width="11.5546875" style="13" bestFit="1" customWidth="1"/>
    <col min="5" max="15" width="8.77734375" style="13" customWidth="1"/>
    <col min="16" max="16" width="11.5546875" style="13" bestFit="1" customWidth="1"/>
    <col min="17" max="33" width="8.77734375" style="13" customWidth="1"/>
    <col min="34" max="16384" width="8.88671875" style="13"/>
  </cols>
  <sheetData>
    <row r="1" spans="1:33" x14ac:dyDescent="0.3">
      <c r="D1" s="55" t="s">
        <v>207</v>
      </c>
      <c r="E1" s="55" t="s">
        <v>207</v>
      </c>
      <c r="F1" s="55" t="s">
        <v>207</v>
      </c>
      <c r="G1" s="55" t="s">
        <v>207</v>
      </c>
      <c r="H1" s="55" t="s">
        <v>207</v>
      </c>
      <c r="I1" s="55" t="s">
        <v>207</v>
      </c>
      <c r="J1" s="55" t="s">
        <v>207</v>
      </c>
      <c r="K1" s="55" t="s">
        <v>207</v>
      </c>
      <c r="L1" s="55" t="s">
        <v>207</v>
      </c>
      <c r="M1" s="55" t="s">
        <v>207</v>
      </c>
      <c r="N1" s="55" t="s">
        <v>207</v>
      </c>
      <c r="O1" s="55" t="s">
        <v>207</v>
      </c>
      <c r="P1" s="55" t="s">
        <v>207</v>
      </c>
      <c r="Q1" s="55" t="s">
        <v>207</v>
      </c>
      <c r="R1" s="55" t="s">
        <v>207</v>
      </c>
      <c r="S1" s="55" t="s">
        <v>207</v>
      </c>
      <c r="T1" s="55" t="s">
        <v>207</v>
      </c>
      <c r="U1" s="55" t="s">
        <v>207</v>
      </c>
      <c r="V1" s="55" t="s">
        <v>207</v>
      </c>
      <c r="W1" s="55" t="s">
        <v>207</v>
      </c>
      <c r="X1" s="55" t="s">
        <v>207</v>
      </c>
      <c r="Y1" s="55" t="s">
        <v>207</v>
      </c>
      <c r="Z1" s="55" t="s">
        <v>207</v>
      </c>
      <c r="AA1" s="55" t="s">
        <v>207</v>
      </c>
      <c r="AB1" s="55" t="s">
        <v>207</v>
      </c>
      <c r="AC1" s="55" t="s">
        <v>207</v>
      </c>
      <c r="AD1" s="55" t="s">
        <v>207</v>
      </c>
      <c r="AE1" s="55" t="s">
        <v>207</v>
      </c>
      <c r="AF1" s="55" t="s">
        <v>207</v>
      </c>
      <c r="AG1" s="55" t="s">
        <v>207</v>
      </c>
    </row>
    <row r="2" spans="1:33" ht="13.5" customHeight="1" x14ac:dyDescent="0.3">
      <c r="D2" s="53" t="s">
        <v>26</v>
      </c>
      <c r="E2" s="53" t="s">
        <v>26</v>
      </c>
      <c r="F2" s="53" t="s">
        <v>26</v>
      </c>
      <c r="G2" s="53" t="s">
        <v>26</v>
      </c>
      <c r="H2" s="53" t="s">
        <v>26</v>
      </c>
      <c r="I2" s="53" t="s">
        <v>26</v>
      </c>
      <c r="J2" s="53" t="s">
        <v>27</v>
      </c>
      <c r="K2" s="53" t="s">
        <v>27</v>
      </c>
      <c r="L2" s="53" t="s">
        <v>27</v>
      </c>
      <c r="M2" s="53" t="s">
        <v>27</v>
      </c>
      <c r="N2" s="53" t="s">
        <v>27</v>
      </c>
      <c r="O2" s="53" t="s">
        <v>27</v>
      </c>
      <c r="P2" s="53" t="s">
        <v>28</v>
      </c>
      <c r="Q2" s="53" t="s">
        <v>28</v>
      </c>
      <c r="R2" s="53" t="s">
        <v>28</v>
      </c>
      <c r="S2" s="53" t="s">
        <v>28</v>
      </c>
      <c r="T2" s="53" t="s">
        <v>28</v>
      </c>
      <c r="U2" s="53" t="s">
        <v>28</v>
      </c>
      <c r="V2" s="53" t="s">
        <v>29</v>
      </c>
      <c r="W2" s="53" t="s">
        <v>29</v>
      </c>
      <c r="X2" s="53" t="s">
        <v>29</v>
      </c>
      <c r="Y2" s="53" t="s">
        <v>29</v>
      </c>
      <c r="Z2" s="53" t="s">
        <v>29</v>
      </c>
      <c r="AA2" s="53" t="s">
        <v>29</v>
      </c>
      <c r="AB2" s="53" t="s">
        <v>30</v>
      </c>
      <c r="AC2" s="53" t="s">
        <v>30</v>
      </c>
      <c r="AD2" s="53" t="s">
        <v>30</v>
      </c>
      <c r="AE2" s="53" t="s">
        <v>30</v>
      </c>
      <c r="AF2" s="53" t="s">
        <v>30</v>
      </c>
      <c r="AG2" s="53" t="s">
        <v>30</v>
      </c>
    </row>
    <row r="3" spans="1:33" ht="12.75" customHeight="1" x14ac:dyDescent="0.3">
      <c r="A3" s="31" t="s">
        <v>201</v>
      </c>
      <c r="B3" s="31" t="s">
        <v>211</v>
      </c>
      <c r="C3" s="31" t="s">
        <v>31</v>
      </c>
      <c r="D3" s="32" t="s">
        <v>200</v>
      </c>
      <c r="E3" s="32" t="s">
        <v>32</v>
      </c>
      <c r="F3" s="32" t="s">
        <v>33</v>
      </c>
      <c r="G3" s="32" t="s">
        <v>34</v>
      </c>
      <c r="H3" s="32" t="s">
        <v>35</v>
      </c>
      <c r="I3" s="32" t="s">
        <v>36</v>
      </c>
      <c r="J3" s="32" t="s">
        <v>200</v>
      </c>
      <c r="K3" s="32" t="s">
        <v>32</v>
      </c>
      <c r="L3" s="32" t="s">
        <v>33</v>
      </c>
      <c r="M3" s="32" t="s">
        <v>34</v>
      </c>
      <c r="N3" s="32" t="s">
        <v>35</v>
      </c>
      <c r="O3" s="32" t="s">
        <v>36</v>
      </c>
      <c r="P3" s="32" t="s">
        <v>200</v>
      </c>
      <c r="Q3" s="32" t="s">
        <v>32</v>
      </c>
      <c r="R3" s="32" t="s">
        <v>33</v>
      </c>
      <c r="S3" s="32" t="s">
        <v>34</v>
      </c>
      <c r="T3" s="32" t="s">
        <v>35</v>
      </c>
      <c r="U3" s="32" t="s">
        <v>36</v>
      </c>
      <c r="V3" s="32" t="s">
        <v>200</v>
      </c>
      <c r="W3" s="32" t="s">
        <v>32</v>
      </c>
      <c r="X3" s="32" t="s">
        <v>33</v>
      </c>
      <c r="Y3" s="32" t="s">
        <v>34</v>
      </c>
      <c r="Z3" s="32" t="s">
        <v>35</v>
      </c>
      <c r="AA3" s="32" t="s">
        <v>36</v>
      </c>
      <c r="AB3" s="32" t="s">
        <v>200</v>
      </c>
      <c r="AC3" s="32" t="s">
        <v>32</v>
      </c>
      <c r="AD3" s="32" t="s">
        <v>33</v>
      </c>
      <c r="AE3" s="32" t="s">
        <v>34</v>
      </c>
      <c r="AF3" s="32" t="s">
        <v>35</v>
      </c>
      <c r="AG3" s="32" t="s">
        <v>36</v>
      </c>
    </row>
    <row r="4" spans="1:33" ht="13.5" customHeight="1" x14ac:dyDescent="0.3">
      <c r="A4" s="49" t="s">
        <v>0</v>
      </c>
      <c r="B4" s="31" t="s">
        <v>39</v>
      </c>
      <c r="C4" s="31">
        <v>31</v>
      </c>
      <c r="D4" s="4"/>
      <c r="E4" s="4">
        <v>0</v>
      </c>
      <c r="F4" s="4"/>
      <c r="G4" s="40">
        <v>0.44838709677419358</v>
      </c>
      <c r="H4" s="40">
        <v>0.8</v>
      </c>
      <c r="I4" s="40">
        <f>+E4/($C4*24*G4)</f>
        <v>0</v>
      </c>
      <c r="J4" s="4">
        <v>184.55534999855101</v>
      </c>
      <c r="K4" s="4">
        <v>167.80428704434857</v>
      </c>
      <c r="L4" s="4">
        <v>1099.8250000000019</v>
      </c>
      <c r="M4" s="40">
        <v>0.7709677419354839</v>
      </c>
      <c r="N4" s="40">
        <v>0.8</v>
      </c>
      <c r="O4" s="40">
        <f>+K4/($C4*24*M4)</f>
        <v>0.29254582818052399</v>
      </c>
      <c r="P4" s="4">
        <v>282.88462500000003</v>
      </c>
      <c r="Q4" s="4">
        <v>204.43333333333317</v>
      </c>
      <c r="R4" s="4">
        <v>1383.7500000000011</v>
      </c>
      <c r="S4" s="40">
        <v>0.7709677419354839</v>
      </c>
      <c r="T4" s="40">
        <v>0.8</v>
      </c>
      <c r="U4" s="40">
        <f>+Q4/($C4*24*S4)</f>
        <v>0.35640399814039952</v>
      </c>
      <c r="V4" s="4">
        <v>433.256095846714</v>
      </c>
      <c r="W4" s="4">
        <v>196.96592450922353</v>
      </c>
      <c r="X4" s="4">
        <v>2199.6500000000019</v>
      </c>
      <c r="Y4" s="40">
        <v>0.7709677419354839</v>
      </c>
      <c r="Z4" s="40">
        <v>0.84</v>
      </c>
      <c r="AA4" s="40">
        <f>+W4/($C4*24*Y4)</f>
        <v>0.34338550297981785</v>
      </c>
      <c r="AB4" s="4">
        <v>898.99982499999999</v>
      </c>
      <c r="AC4" s="4">
        <v>385.05375451306872</v>
      </c>
      <c r="AD4" s="4">
        <v>2334.7384993995379</v>
      </c>
      <c r="AE4" s="40">
        <v>0.7709677419354839</v>
      </c>
      <c r="AF4" s="40">
        <v>0.84</v>
      </c>
      <c r="AG4" s="40">
        <f>+AC4/($C4*24*AE4)</f>
        <v>0.67129315640353682</v>
      </c>
    </row>
    <row r="5" spans="1:33" ht="12.75" customHeight="1" x14ac:dyDescent="0.3">
      <c r="A5" s="49" t="s">
        <v>0</v>
      </c>
      <c r="B5" s="31" t="s">
        <v>40</v>
      </c>
      <c r="C5" s="31">
        <v>28</v>
      </c>
      <c r="D5" s="4"/>
      <c r="E5" s="4">
        <v>0</v>
      </c>
      <c r="F5" s="4"/>
      <c r="G5" s="40">
        <v>0.50714285714285712</v>
      </c>
      <c r="H5" s="40">
        <v>0.8</v>
      </c>
      <c r="I5" s="41">
        <f t="shared" ref="I5:I32" si="0">+E5/($C5*24*G5)</f>
        <v>0</v>
      </c>
      <c r="J5" s="42">
        <v>106.703525</v>
      </c>
      <c r="K5" s="42">
        <v>97.018639328984094</v>
      </c>
      <c r="L5" s="42">
        <v>1099.8250000000005</v>
      </c>
      <c r="M5" s="41">
        <v>0.36428571428571432</v>
      </c>
      <c r="N5" s="41">
        <v>0.8</v>
      </c>
      <c r="O5" s="41">
        <f t="shared" ref="O5:O32" si="1">+K5/($C5*24*M5)</f>
        <v>0.39631797111513106</v>
      </c>
      <c r="P5" s="42">
        <v>397.62713450503401</v>
      </c>
      <c r="Q5" s="42">
        <v>287.35474941646572</v>
      </c>
      <c r="R5" s="42">
        <v>1383.7499999999984</v>
      </c>
      <c r="S5" s="41">
        <v>0.75714285714285712</v>
      </c>
      <c r="T5" s="41">
        <v>0.8</v>
      </c>
      <c r="U5" s="41">
        <f t="shared" ref="U5:U32" si="2">+Q5/($C5*24*S5)</f>
        <v>0.56476955467072676</v>
      </c>
      <c r="V5" s="42">
        <v>436.58940032939802</v>
      </c>
      <c r="W5" s="42">
        <v>209.10827592834471</v>
      </c>
      <c r="X5" s="42">
        <v>2087.8628470879098</v>
      </c>
      <c r="Y5" s="41">
        <v>0.75714285714285712</v>
      </c>
      <c r="Z5" s="41">
        <v>0.84</v>
      </c>
      <c r="AA5" s="41">
        <f t="shared" ref="AA5:AA32" si="3">+W5/($C5*24*Y5)</f>
        <v>0.41098324671451403</v>
      </c>
      <c r="AB5" s="42">
        <v>948.41007467060194</v>
      </c>
      <c r="AC5" s="42">
        <v>409.04639999999932</v>
      </c>
      <c r="AD5" s="42">
        <v>2318.5880004581472</v>
      </c>
      <c r="AE5" s="41">
        <v>0.75714285714285712</v>
      </c>
      <c r="AF5" s="41">
        <v>0.84</v>
      </c>
      <c r="AG5" s="41">
        <f t="shared" ref="AG5:AG32" si="4">+AC5/($C5*24*AE5)</f>
        <v>0.80394339622641386</v>
      </c>
    </row>
    <row r="6" spans="1:33" ht="13.5" customHeight="1" x14ac:dyDescent="0.3">
      <c r="A6" s="49" t="s">
        <v>0</v>
      </c>
      <c r="B6" s="31" t="s">
        <v>41</v>
      </c>
      <c r="C6" s="31">
        <v>31</v>
      </c>
      <c r="D6" s="4"/>
      <c r="E6" s="4">
        <v>0</v>
      </c>
      <c r="F6" s="4"/>
      <c r="G6" s="40">
        <v>0.5209677419354839</v>
      </c>
      <c r="H6" s="40">
        <v>0.8</v>
      </c>
      <c r="I6" s="40">
        <f t="shared" si="0"/>
        <v>0</v>
      </c>
      <c r="J6" s="4">
        <v>203.37537499999999</v>
      </c>
      <c r="K6" s="4">
        <v>184.91612301957088</v>
      </c>
      <c r="L6" s="4">
        <v>1099.8250000000023</v>
      </c>
      <c r="M6" s="40">
        <v>0.7709677419354839</v>
      </c>
      <c r="N6" s="40">
        <v>0.8</v>
      </c>
      <c r="O6" s="40">
        <f t="shared" si="1"/>
        <v>0.32237817820706216</v>
      </c>
      <c r="P6" s="4">
        <v>423.21622890001601</v>
      </c>
      <c r="Q6" s="4">
        <v>305.84731989161048</v>
      </c>
      <c r="R6" s="4">
        <v>1383.75</v>
      </c>
      <c r="S6" s="40">
        <v>0.7709677419354839</v>
      </c>
      <c r="T6" s="40">
        <v>0.8</v>
      </c>
      <c r="U6" s="40">
        <f t="shared" si="2"/>
        <v>0.53320662463669888</v>
      </c>
      <c r="V6" s="4">
        <v>475.13855975999201</v>
      </c>
      <c r="W6" s="4">
        <v>228.96713640116639</v>
      </c>
      <c r="X6" s="4">
        <v>2075.1386737331422</v>
      </c>
      <c r="Y6" s="40">
        <v>0.64193548387096777</v>
      </c>
      <c r="Z6" s="40">
        <v>0.84</v>
      </c>
      <c r="AA6" s="40">
        <f t="shared" si="3"/>
        <v>0.47941192713812053</v>
      </c>
      <c r="AB6" s="4">
        <v>1068.8619902400101</v>
      </c>
      <c r="AC6" s="4">
        <v>464.70240000000319</v>
      </c>
      <c r="AD6" s="4">
        <v>2300.1000000000054</v>
      </c>
      <c r="AE6" s="40">
        <v>0.7709677419354839</v>
      </c>
      <c r="AF6" s="40">
        <v>0.84</v>
      </c>
      <c r="AG6" s="40">
        <f t="shared" si="4"/>
        <v>0.81015062761506829</v>
      </c>
    </row>
    <row r="7" spans="1:33" ht="13.5" customHeight="1" x14ac:dyDescent="0.3">
      <c r="A7" s="49" t="s">
        <v>0</v>
      </c>
      <c r="B7" s="31" t="s">
        <v>42</v>
      </c>
      <c r="C7" s="31">
        <v>30</v>
      </c>
      <c r="D7" s="4"/>
      <c r="E7" s="4">
        <v>0</v>
      </c>
      <c r="F7" s="4"/>
      <c r="G7" s="40">
        <v>0.51666666666666672</v>
      </c>
      <c r="H7" s="40">
        <v>0.8</v>
      </c>
      <c r="I7" s="40">
        <f t="shared" si="0"/>
        <v>0</v>
      </c>
      <c r="J7" s="4">
        <v>104.02315</v>
      </c>
      <c r="K7" s="4">
        <v>94.581547064305667</v>
      </c>
      <c r="L7" s="4">
        <v>1099.825</v>
      </c>
      <c r="M7" s="40">
        <v>0.76666666666666672</v>
      </c>
      <c r="N7" s="40">
        <v>0.8</v>
      </c>
      <c r="O7" s="40">
        <f t="shared" si="1"/>
        <v>0.17134338236287258</v>
      </c>
      <c r="P7" s="4">
        <v>392.262306832381</v>
      </c>
      <c r="Q7" s="4">
        <v>283.4777285148192</v>
      </c>
      <c r="R7" s="4">
        <v>1383.7499999999995</v>
      </c>
      <c r="S7" s="40">
        <v>0.76666666666666672</v>
      </c>
      <c r="T7" s="40">
        <v>0.8</v>
      </c>
      <c r="U7" s="40">
        <f t="shared" si="2"/>
        <v>0.51354660962829568</v>
      </c>
      <c r="V7" s="4">
        <v>719.18019650101803</v>
      </c>
      <c r="W7" s="4">
        <v>353.45893627213388</v>
      </c>
      <c r="X7" s="4">
        <v>2034.6923580036726</v>
      </c>
      <c r="Y7" s="40">
        <v>0.8</v>
      </c>
      <c r="Z7" s="40">
        <v>0.84</v>
      </c>
      <c r="AA7" s="40">
        <f t="shared" si="3"/>
        <v>0.61364398658356578</v>
      </c>
      <c r="AB7" s="4">
        <v>838.81980349898197</v>
      </c>
      <c r="AC7" s="4">
        <v>362.88000000000079</v>
      </c>
      <c r="AD7" s="4">
        <v>2311.5625096422509</v>
      </c>
      <c r="AE7" s="40">
        <v>0.66666666666666674</v>
      </c>
      <c r="AF7" s="40">
        <v>0.84</v>
      </c>
      <c r="AG7" s="40">
        <f t="shared" si="4"/>
        <v>0.75600000000000156</v>
      </c>
    </row>
    <row r="8" spans="1:33" ht="12.75" customHeight="1" x14ac:dyDescent="0.3">
      <c r="A8" s="49" t="s">
        <v>0</v>
      </c>
      <c r="B8" s="31" t="s">
        <v>43</v>
      </c>
      <c r="C8" s="31">
        <v>31</v>
      </c>
      <c r="D8" s="4"/>
      <c r="E8" s="4">
        <v>0</v>
      </c>
      <c r="F8" s="4"/>
      <c r="G8" s="40">
        <v>0.48064516129032264</v>
      </c>
      <c r="H8" s="40">
        <v>0.8</v>
      </c>
      <c r="I8" s="41">
        <f t="shared" si="0"/>
        <v>0</v>
      </c>
      <c r="J8" s="4">
        <v>156.003429268199</v>
      </c>
      <c r="K8" s="4">
        <v>141.84386540422247</v>
      </c>
      <c r="L8" s="4">
        <v>1099.825</v>
      </c>
      <c r="M8" s="40">
        <v>0.7709677419354839</v>
      </c>
      <c r="N8" s="40">
        <v>0.8</v>
      </c>
      <c r="O8" s="40">
        <f t="shared" si="1"/>
        <v>0.2472870735777937</v>
      </c>
      <c r="P8" s="4">
        <v>410.362686</v>
      </c>
      <c r="Q8" s="4">
        <v>296.55839999999961</v>
      </c>
      <c r="R8" s="4">
        <v>1383.7500000000018</v>
      </c>
      <c r="S8" s="40">
        <v>0.57204301075268815</v>
      </c>
      <c r="T8" s="40">
        <v>0.8</v>
      </c>
      <c r="U8" s="40">
        <f t="shared" si="2"/>
        <v>0.69680075187969837</v>
      </c>
      <c r="V8" s="4">
        <v>455.753481892065</v>
      </c>
      <c r="W8" s="4">
        <v>219.80147379843385</v>
      </c>
      <c r="X8" s="4">
        <v>2073.4778253125269</v>
      </c>
      <c r="Y8" s="40">
        <v>0.7709677419354839</v>
      </c>
      <c r="Z8" s="40">
        <v>0.84</v>
      </c>
      <c r="AA8" s="40">
        <f>+W8/($C8*24*Y8)</f>
        <v>0.38319643270298787</v>
      </c>
      <c r="AB8" s="4">
        <v>965.24604310793495</v>
      </c>
      <c r="AC8" s="4">
        <v>419.61600000000305</v>
      </c>
      <c r="AD8" s="4">
        <v>2300.3080032885491</v>
      </c>
      <c r="AE8" s="40">
        <v>0.7709677419354839</v>
      </c>
      <c r="AF8" s="40">
        <v>0.84</v>
      </c>
      <c r="AG8" s="40">
        <f t="shared" si="4"/>
        <v>0.73154811715481705</v>
      </c>
    </row>
    <row r="9" spans="1:33" ht="13.5" customHeight="1" x14ac:dyDescent="0.3">
      <c r="A9" s="49" t="s">
        <v>0</v>
      </c>
      <c r="B9" s="31" t="s">
        <v>44</v>
      </c>
      <c r="C9" s="31">
        <v>30</v>
      </c>
      <c r="D9" s="4"/>
      <c r="E9" s="4">
        <v>0</v>
      </c>
      <c r="F9" s="4"/>
      <c r="G9" s="40">
        <v>0.51666666666666672</v>
      </c>
      <c r="H9" s="40">
        <v>0.8</v>
      </c>
      <c r="I9" s="40">
        <f t="shared" si="0"/>
        <v>0</v>
      </c>
      <c r="J9" s="4">
        <v>107.48457500000001</v>
      </c>
      <c r="K9" s="4">
        <v>97.728797763280525</v>
      </c>
      <c r="L9" s="4">
        <v>1099.8249999999998</v>
      </c>
      <c r="M9" s="40">
        <v>0.76666666666666672</v>
      </c>
      <c r="N9" s="40">
        <v>0.8</v>
      </c>
      <c r="O9" s="40">
        <f t="shared" si="1"/>
        <v>0.17704492348420384</v>
      </c>
      <c r="P9" s="4">
        <v>416.61926469245998</v>
      </c>
      <c r="Q9" s="4">
        <v>301.07986608307851</v>
      </c>
      <c r="R9" s="4">
        <v>1383.7500000000002</v>
      </c>
      <c r="S9" s="40">
        <v>0.76666666666666672</v>
      </c>
      <c r="T9" s="40">
        <v>0.8</v>
      </c>
      <c r="U9" s="40">
        <f t="shared" si="2"/>
        <v>0.54543454000557701</v>
      </c>
      <c r="V9" s="4">
        <v>453.29038967909298</v>
      </c>
      <c r="W9" s="4">
        <v>219.4124182143471</v>
      </c>
      <c r="X9" s="4">
        <v>2065.9285986095242</v>
      </c>
      <c r="Y9" s="40">
        <v>0.65</v>
      </c>
      <c r="Z9" s="40">
        <v>0.84</v>
      </c>
      <c r="AA9" s="40">
        <f t="shared" si="3"/>
        <v>0.4688299534494596</v>
      </c>
      <c r="AB9" s="4">
        <v>957.70923532090706</v>
      </c>
      <c r="AC9" s="4">
        <v>411.1200000000016</v>
      </c>
      <c r="AD9" s="4">
        <v>2329.5126369938298</v>
      </c>
      <c r="AE9" s="40">
        <v>0.76666666666666672</v>
      </c>
      <c r="AF9" s="40">
        <v>0.84</v>
      </c>
      <c r="AG9" s="40">
        <f t="shared" si="4"/>
        <v>0.74478260869565505</v>
      </c>
    </row>
    <row r="10" spans="1:33" ht="12.75" customHeight="1" x14ac:dyDescent="0.3">
      <c r="A10" s="49" t="s">
        <v>0</v>
      </c>
      <c r="B10" s="31" t="s">
        <v>45</v>
      </c>
      <c r="C10" s="31">
        <v>31</v>
      </c>
      <c r="D10" s="4"/>
      <c r="E10" s="4">
        <v>0</v>
      </c>
      <c r="F10" s="4"/>
      <c r="G10" s="40">
        <v>0.5209677419354839</v>
      </c>
      <c r="H10" s="40">
        <v>0.8</v>
      </c>
      <c r="I10" s="41">
        <f t="shared" si="0"/>
        <v>0</v>
      </c>
      <c r="J10" s="4">
        <v>157.984275</v>
      </c>
      <c r="K10" s="4">
        <v>143.64492078285173</v>
      </c>
      <c r="L10" s="4">
        <v>1099.8250000000005</v>
      </c>
      <c r="M10" s="40">
        <v>0.7709677419354839</v>
      </c>
      <c r="N10" s="40">
        <v>0.8</v>
      </c>
      <c r="O10" s="40">
        <f t="shared" si="1"/>
        <v>0.25042698881250303</v>
      </c>
      <c r="P10" s="4">
        <v>464.27630756251301</v>
      </c>
      <c r="Q10" s="4">
        <v>335.52036680217788</v>
      </c>
      <c r="R10" s="4">
        <v>1383.749999999998</v>
      </c>
      <c r="S10" s="40">
        <v>0.75483870967741939</v>
      </c>
      <c r="T10" s="40">
        <v>0.8</v>
      </c>
      <c r="U10" s="40">
        <f t="shared" si="2"/>
        <v>0.5974365505736785</v>
      </c>
      <c r="V10" s="4">
        <v>515.43670255337997</v>
      </c>
      <c r="W10" s="4">
        <v>251.61205268096467</v>
      </c>
      <c r="X10" s="4">
        <v>2048.5374093225005</v>
      </c>
      <c r="Y10" s="40">
        <v>0.73870967741935489</v>
      </c>
      <c r="Z10" s="40">
        <v>0.84</v>
      </c>
      <c r="AA10" s="40">
        <f t="shared" si="3"/>
        <v>0.45780941171936801</v>
      </c>
      <c r="AB10" s="4">
        <v>998.56312244662001</v>
      </c>
      <c r="AC10" s="4">
        <v>428.99040000000099</v>
      </c>
      <c r="AD10" s="4">
        <v>2327.7050545807497</v>
      </c>
      <c r="AE10" s="40">
        <v>0.7709677419354839</v>
      </c>
      <c r="AF10" s="40">
        <v>0.84</v>
      </c>
      <c r="AG10" s="40">
        <f t="shared" si="4"/>
        <v>0.74789121338912301</v>
      </c>
    </row>
    <row r="11" spans="1:33" ht="13.5" customHeight="1" x14ac:dyDescent="0.3">
      <c r="A11" s="49" t="s">
        <v>0</v>
      </c>
      <c r="B11" s="31" t="s">
        <v>46</v>
      </c>
      <c r="C11" s="31">
        <v>31</v>
      </c>
      <c r="D11" s="4"/>
      <c r="E11" s="4">
        <v>0</v>
      </c>
      <c r="F11" s="4"/>
      <c r="G11" s="40">
        <v>0.48870967741935489</v>
      </c>
      <c r="H11" s="40">
        <v>0.8</v>
      </c>
      <c r="I11" s="41">
        <f t="shared" si="0"/>
        <v>0</v>
      </c>
      <c r="J11" s="4">
        <v>439.57453656000001</v>
      </c>
      <c r="K11" s="4">
        <v>399.67679999999967</v>
      </c>
      <c r="L11" s="4">
        <v>1099.8250000000007</v>
      </c>
      <c r="M11" s="40">
        <v>0.7709677419354839</v>
      </c>
      <c r="N11" s="40">
        <v>0.8</v>
      </c>
      <c r="O11" s="40">
        <f t="shared" si="1"/>
        <v>0.69678661087866045</v>
      </c>
      <c r="P11" s="4">
        <v>236.94270765835299</v>
      </c>
      <c r="Q11" s="4">
        <v>171.23230905752661</v>
      </c>
      <c r="R11" s="4">
        <v>1383.7500000000032</v>
      </c>
      <c r="S11" s="40">
        <v>0.7709677419354839</v>
      </c>
      <c r="T11" s="40">
        <v>0.8</v>
      </c>
      <c r="U11" s="40">
        <f>+Q11/($C11*24*S11)</f>
        <v>0.29852215665538112</v>
      </c>
      <c r="V11" s="4">
        <v>610.84126340000103</v>
      </c>
      <c r="W11" s="4">
        <v>308.48674154670067</v>
      </c>
      <c r="X11" s="4">
        <v>1980.1216102103629</v>
      </c>
      <c r="Y11" s="40">
        <v>0.8032258064516129</v>
      </c>
      <c r="Z11" s="40">
        <v>0.84</v>
      </c>
      <c r="AA11" s="40">
        <f t="shared" si="3"/>
        <v>0.51620940687198902</v>
      </c>
      <c r="AB11" s="4">
        <v>965.15876159999902</v>
      </c>
      <c r="AC11" s="4">
        <v>419.61599999999959</v>
      </c>
      <c r="AD11" s="4">
        <v>2300.0999999999995</v>
      </c>
      <c r="AE11" s="40">
        <v>0.7709677419354839</v>
      </c>
      <c r="AF11" s="40">
        <v>0.84</v>
      </c>
      <c r="AG11" s="40">
        <f t="shared" si="4"/>
        <v>0.73154811715481094</v>
      </c>
    </row>
    <row r="12" spans="1:33" ht="13.5" customHeight="1" x14ac:dyDescent="0.3">
      <c r="A12" s="49" t="s">
        <v>0</v>
      </c>
      <c r="B12" s="31" t="s">
        <v>47</v>
      </c>
      <c r="C12" s="31">
        <v>30</v>
      </c>
      <c r="D12" s="4"/>
      <c r="E12" s="4">
        <v>0</v>
      </c>
      <c r="F12" s="4"/>
      <c r="G12" s="40">
        <v>0.51666666666666672</v>
      </c>
      <c r="H12" s="40">
        <v>0.8</v>
      </c>
      <c r="I12" s="40">
        <f t="shared" si="0"/>
        <v>0</v>
      </c>
      <c r="J12" s="4">
        <v>412.8039162</v>
      </c>
      <c r="K12" s="4">
        <v>375.3359999999999</v>
      </c>
      <c r="L12" s="4">
        <v>1099.8250000000003</v>
      </c>
      <c r="M12" s="40">
        <v>0.76666666666666672</v>
      </c>
      <c r="N12" s="40">
        <v>0.8</v>
      </c>
      <c r="O12" s="40">
        <f t="shared" si="1"/>
        <v>0.67995652173913024</v>
      </c>
      <c r="P12" s="4">
        <v>161.875547781661</v>
      </c>
      <c r="Q12" s="4">
        <v>116.98323236253727</v>
      </c>
      <c r="R12" s="4">
        <v>1383.7500000000002</v>
      </c>
      <c r="S12" s="40">
        <v>0.76666666666666672</v>
      </c>
      <c r="T12" s="40">
        <v>0.8</v>
      </c>
      <c r="U12" s="40">
        <f t="shared" si="2"/>
        <v>0.21192614558430664</v>
      </c>
      <c r="V12" s="4">
        <v>770.90612340872894</v>
      </c>
      <c r="W12" s="4">
        <v>378.85171249874492</v>
      </c>
      <c r="X12" s="4">
        <v>2034.8492509751629</v>
      </c>
      <c r="Y12" s="40">
        <v>0.76666666666666672</v>
      </c>
      <c r="Z12" s="40">
        <v>0.84</v>
      </c>
      <c r="AA12" s="40">
        <f t="shared" si="3"/>
        <v>0.68632556612091467</v>
      </c>
      <c r="AB12" s="4">
        <v>907.09472659127096</v>
      </c>
      <c r="AC12" s="4">
        <v>394.12799999999993</v>
      </c>
      <c r="AD12" s="4">
        <v>2301.5231767123141</v>
      </c>
      <c r="AE12" s="40">
        <v>0.76666666666666672</v>
      </c>
      <c r="AF12" s="40">
        <v>0.84</v>
      </c>
      <c r="AG12" s="40">
        <f t="shared" si="4"/>
        <v>0.71399999999999986</v>
      </c>
    </row>
    <row r="13" spans="1:33" ht="12.75" customHeight="1" x14ac:dyDescent="0.3">
      <c r="A13" s="49" t="s">
        <v>0</v>
      </c>
      <c r="B13" s="31" t="s">
        <v>48</v>
      </c>
      <c r="C13" s="31">
        <v>31</v>
      </c>
      <c r="D13" s="4"/>
      <c r="E13" s="4">
        <v>0</v>
      </c>
      <c r="F13" s="4"/>
      <c r="G13" s="40">
        <v>0.5209677419354839</v>
      </c>
      <c r="H13" s="40">
        <v>0.8</v>
      </c>
      <c r="I13" s="40">
        <f t="shared" si="0"/>
        <v>0</v>
      </c>
      <c r="J13" s="4">
        <v>323.82084490040398</v>
      </c>
      <c r="K13" s="4">
        <v>294.42942731835109</v>
      </c>
      <c r="L13" s="4">
        <v>1099.8249999999948</v>
      </c>
      <c r="M13" s="40">
        <v>0.7709677419354839</v>
      </c>
      <c r="N13" s="40">
        <v>0.8</v>
      </c>
      <c r="O13" s="40">
        <f t="shared" si="1"/>
        <v>0.51330095418122568</v>
      </c>
      <c r="P13" s="4">
        <v>318.475951967924</v>
      </c>
      <c r="Q13" s="4">
        <v>230.1542561647145</v>
      </c>
      <c r="R13" s="4">
        <v>1383.7500000000014</v>
      </c>
      <c r="S13" s="40">
        <v>0.75483870967741939</v>
      </c>
      <c r="T13" s="40">
        <v>0.8</v>
      </c>
      <c r="U13" s="40">
        <f t="shared" si="2"/>
        <v>0.40981883220212695</v>
      </c>
      <c r="V13" s="4">
        <v>728.19068235581403</v>
      </c>
      <c r="W13" s="4">
        <v>358.77151333381062</v>
      </c>
      <c r="X13" s="4">
        <v>2029.6780967620634</v>
      </c>
      <c r="Y13" s="40">
        <v>0.7709677419354839</v>
      </c>
      <c r="Z13" s="40">
        <v>0.84</v>
      </c>
      <c r="AA13" s="40">
        <f t="shared" si="3"/>
        <v>0.62547334960566703</v>
      </c>
      <c r="AB13" s="4">
        <v>884.83719083681001</v>
      </c>
      <c r="AC13" s="4">
        <v>377.43116239710497</v>
      </c>
      <c r="AD13" s="4">
        <v>2344.3670766799332</v>
      </c>
      <c r="AE13" s="40">
        <v>0.70645161290322589</v>
      </c>
      <c r="AF13" s="40">
        <v>0.84</v>
      </c>
      <c r="AG13" s="40">
        <f t="shared" si="4"/>
        <v>0.7180958188681601</v>
      </c>
    </row>
    <row r="14" spans="1:33" ht="13.5" customHeight="1" x14ac:dyDescent="0.3">
      <c r="A14" s="49" t="s">
        <v>0</v>
      </c>
      <c r="B14" s="31" t="s">
        <v>49</v>
      </c>
      <c r="C14" s="31">
        <v>30</v>
      </c>
      <c r="D14" s="4"/>
      <c r="E14" s="4">
        <v>0</v>
      </c>
      <c r="F14" s="4"/>
      <c r="G14" s="40">
        <v>0.45</v>
      </c>
      <c r="H14" s="40">
        <v>0.8</v>
      </c>
      <c r="I14" s="40">
        <f t="shared" si="0"/>
        <v>0</v>
      </c>
      <c r="J14" s="4">
        <v>98.635749999999902</v>
      </c>
      <c r="K14" s="4">
        <v>89.683131407269329</v>
      </c>
      <c r="L14" s="4">
        <v>1099.8249999999989</v>
      </c>
      <c r="M14" s="40">
        <v>0.78333333333333333</v>
      </c>
      <c r="N14" s="40">
        <v>0.8</v>
      </c>
      <c r="O14" s="40">
        <f t="shared" si="1"/>
        <v>0.15901264433913001</v>
      </c>
      <c r="P14" s="4">
        <v>150.04315270003801</v>
      </c>
      <c r="Q14" s="4">
        <v>108.43226934058799</v>
      </c>
      <c r="R14" s="4">
        <v>1383.7499999999939</v>
      </c>
      <c r="S14" s="40">
        <v>0.4</v>
      </c>
      <c r="T14" s="40">
        <v>0.8</v>
      </c>
      <c r="U14" s="40">
        <f t="shared" si="2"/>
        <v>0.37650093521037498</v>
      </c>
      <c r="V14" s="4">
        <v>756.54175799999996</v>
      </c>
      <c r="W14" s="4">
        <v>377.21767598366375</v>
      </c>
      <c r="X14" s="4">
        <v>2005.5840597267336</v>
      </c>
      <c r="Y14" s="40">
        <v>0.8</v>
      </c>
      <c r="Z14" s="40">
        <v>0.84</v>
      </c>
      <c r="AA14" s="40">
        <f t="shared" si="3"/>
        <v>0.6548917985827496</v>
      </c>
      <c r="AB14" s="4">
        <v>970.45819200000005</v>
      </c>
      <c r="AC14" s="4">
        <v>421.92000000000019</v>
      </c>
      <c r="AD14" s="4">
        <v>2300.0999999999985</v>
      </c>
      <c r="AE14" s="40">
        <v>0.76666666666666672</v>
      </c>
      <c r="AF14" s="40">
        <v>0.84</v>
      </c>
      <c r="AG14" s="40">
        <f t="shared" si="4"/>
        <v>0.76434782608695684</v>
      </c>
    </row>
    <row r="15" spans="1:33" ht="12.75" customHeight="1" x14ac:dyDescent="0.3">
      <c r="A15" s="49" t="s">
        <v>0</v>
      </c>
      <c r="B15" s="31" t="s">
        <v>50</v>
      </c>
      <c r="C15" s="31">
        <v>31</v>
      </c>
      <c r="D15" s="4"/>
      <c r="E15" s="4">
        <v>0</v>
      </c>
      <c r="F15" s="4"/>
      <c r="G15" s="40">
        <v>0.5209677419354839</v>
      </c>
      <c r="H15" s="40">
        <v>0.8</v>
      </c>
      <c r="I15" s="40">
        <f t="shared" si="0"/>
        <v>0</v>
      </c>
      <c r="J15" s="4">
        <v>224.006574999994</v>
      </c>
      <c r="K15" s="4">
        <v>203.67474370922139</v>
      </c>
      <c r="L15" s="4">
        <v>1099.824999999998</v>
      </c>
      <c r="M15" s="40">
        <v>0.7709677419354839</v>
      </c>
      <c r="N15" s="40">
        <v>0.8</v>
      </c>
      <c r="O15" s="40">
        <f t="shared" si="1"/>
        <v>0.35508149182221299</v>
      </c>
      <c r="P15" s="4">
        <v>487.88462500000003</v>
      </c>
      <c r="Q15" s="4">
        <v>352.58148148148109</v>
      </c>
      <c r="R15" s="4">
        <v>1383.7500000000014</v>
      </c>
      <c r="S15" s="40">
        <v>0.70645161290322589</v>
      </c>
      <c r="T15" s="40">
        <v>0.8</v>
      </c>
      <c r="U15" s="40">
        <f t="shared" si="2"/>
        <v>0.67081712610631861</v>
      </c>
      <c r="V15" s="4">
        <v>862.07001800000103</v>
      </c>
      <c r="W15" s="4">
        <v>439.86643140025075</v>
      </c>
      <c r="X15" s="4">
        <v>1959.844981249709</v>
      </c>
      <c r="Y15" s="40">
        <v>0.8032258064516129</v>
      </c>
      <c r="Z15" s="40">
        <v>0.84</v>
      </c>
      <c r="AA15" s="40">
        <f t="shared" si="3"/>
        <v>0.73605493875543959</v>
      </c>
      <c r="AB15" s="4">
        <v>1013.930082</v>
      </c>
      <c r="AC15" s="4">
        <v>440.81999999999977</v>
      </c>
      <c r="AD15" s="4">
        <v>2300.1000000000013</v>
      </c>
      <c r="AE15" s="40">
        <v>0.73870967741935489</v>
      </c>
      <c r="AF15" s="40">
        <v>0.84</v>
      </c>
      <c r="AG15" s="40">
        <f t="shared" si="4"/>
        <v>0.80207423580785975</v>
      </c>
    </row>
    <row r="16" spans="1:33" ht="13.5" customHeight="1" x14ac:dyDescent="0.3">
      <c r="A16" s="49" t="s">
        <v>2</v>
      </c>
      <c r="B16" s="31" t="s">
        <v>39</v>
      </c>
      <c r="C16" s="31">
        <v>31</v>
      </c>
      <c r="D16" s="4">
        <v>159.04925</v>
      </c>
      <c r="E16" s="4">
        <v>159.06877569221621</v>
      </c>
      <c r="F16" s="4">
        <v>999.87725000000012</v>
      </c>
      <c r="G16" s="40">
        <v>0.48064516129032264</v>
      </c>
      <c r="H16" s="40">
        <v>0.8</v>
      </c>
      <c r="I16" s="40">
        <f t="shared" si="0"/>
        <v>0.44482319824445243</v>
      </c>
      <c r="J16" s="4">
        <v>265.082425</v>
      </c>
      <c r="K16" s="4">
        <v>189.34509646007976</v>
      </c>
      <c r="L16" s="4">
        <v>1399.9962500000001</v>
      </c>
      <c r="M16" s="40">
        <v>0.7709677419354839</v>
      </c>
      <c r="N16" s="40">
        <v>0.8</v>
      </c>
      <c r="O16" s="40">
        <f t="shared" si="1"/>
        <v>0.33009954055104557</v>
      </c>
      <c r="P16" s="4">
        <v>563.83328181828904</v>
      </c>
      <c r="Q16" s="4">
        <v>311.61354865986578</v>
      </c>
      <c r="R16" s="4">
        <v>1809.3991235077119</v>
      </c>
      <c r="S16" s="40">
        <v>0.7709677419354839</v>
      </c>
      <c r="T16" s="40">
        <v>0.8</v>
      </c>
      <c r="U16" s="40">
        <f t="shared" si="2"/>
        <v>0.54325932472082594</v>
      </c>
      <c r="V16" s="4">
        <v>716.62059480849803</v>
      </c>
      <c r="W16" s="4">
        <v>359.27134826084654</v>
      </c>
      <c r="X16" s="4">
        <v>1994.650000000001</v>
      </c>
      <c r="Y16" s="40">
        <v>0.7709677419354839</v>
      </c>
      <c r="Z16" s="40">
        <v>0.84</v>
      </c>
      <c r="AA16" s="40">
        <f t="shared" si="3"/>
        <v>0.6263447494087282</v>
      </c>
      <c r="AB16" s="4">
        <v>1100.3179801915001</v>
      </c>
      <c r="AC16" s="4">
        <v>469.3896000000002</v>
      </c>
      <c r="AD16" s="4">
        <v>2344.1464834148424</v>
      </c>
      <c r="AE16" s="40">
        <v>0.7709677419354839</v>
      </c>
      <c r="AF16" s="40">
        <v>0.84</v>
      </c>
      <c r="AG16" s="40">
        <f t="shared" si="4"/>
        <v>0.81832217573221788</v>
      </c>
    </row>
    <row r="17" spans="1:33" ht="13.5" customHeight="1" x14ac:dyDescent="0.3">
      <c r="A17" s="49" t="s">
        <v>2</v>
      </c>
      <c r="B17" s="31" t="s">
        <v>40</v>
      </c>
      <c r="C17" s="31">
        <v>28</v>
      </c>
      <c r="D17" s="4">
        <v>159.04925</v>
      </c>
      <c r="E17" s="4">
        <v>159.06877569221624</v>
      </c>
      <c r="F17" s="4">
        <v>999.87725000000034</v>
      </c>
      <c r="G17" s="40">
        <v>0.50714285714285712</v>
      </c>
      <c r="H17" s="40">
        <v>0.8</v>
      </c>
      <c r="I17" s="40">
        <f t="shared" si="0"/>
        <v>0.46675110238326367</v>
      </c>
      <c r="J17" s="4">
        <v>265.082425</v>
      </c>
      <c r="K17" s="4">
        <v>189.34509646008021</v>
      </c>
      <c r="L17" s="4">
        <v>1399.996249999997</v>
      </c>
      <c r="M17" s="40">
        <v>0.75714285714285712</v>
      </c>
      <c r="N17" s="40">
        <v>0.8</v>
      </c>
      <c r="O17" s="40">
        <f t="shared" si="1"/>
        <v>0.37214051977217028</v>
      </c>
      <c r="P17" s="4">
        <v>469.251283494034</v>
      </c>
      <c r="Q17" s="4">
        <v>258.03659435190366</v>
      </c>
      <c r="R17" s="4">
        <v>1818.5454844985327</v>
      </c>
      <c r="S17" s="40">
        <v>0.75714285714285712</v>
      </c>
      <c r="T17" s="40">
        <v>0.8</v>
      </c>
      <c r="U17" s="40">
        <f t="shared" si="2"/>
        <v>0.50714739455955915</v>
      </c>
      <c r="V17" s="4">
        <v>808.56345546245302</v>
      </c>
      <c r="W17" s="4">
        <v>409.04639999999989</v>
      </c>
      <c r="X17" s="4">
        <v>1976.7035120281053</v>
      </c>
      <c r="Y17" s="40">
        <v>0.75714285714285712</v>
      </c>
      <c r="Z17" s="40">
        <v>0.84</v>
      </c>
      <c r="AA17" s="40">
        <f t="shared" si="3"/>
        <v>0.80394339622641497</v>
      </c>
      <c r="AB17" s="4">
        <v>940.84762464000005</v>
      </c>
      <c r="AC17" s="4">
        <v>409.04639999999972</v>
      </c>
      <c r="AD17" s="4">
        <v>2300.1000000000013</v>
      </c>
      <c r="AE17" s="40">
        <v>0.75714285714285712</v>
      </c>
      <c r="AF17" s="40">
        <v>0.84</v>
      </c>
      <c r="AG17" s="40">
        <f t="shared" si="4"/>
        <v>0.80394339622641464</v>
      </c>
    </row>
    <row r="18" spans="1:33" ht="12.75" customHeight="1" x14ac:dyDescent="0.3">
      <c r="A18" s="49" t="s">
        <v>2</v>
      </c>
      <c r="B18" s="31" t="s">
        <v>41</v>
      </c>
      <c r="C18" s="31">
        <v>31</v>
      </c>
      <c r="D18" s="4">
        <v>159.04925</v>
      </c>
      <c r="E18" s="4">
        <v>159.06877569221612</v>
      </c>
      <c r="F18" s="4">
        <v>999.87725000000057</v>
      </c>
      <c r="G18" s="40">
        <v>0.48064516129032264</v>
      </c>
      <c r="H18" s="40">
        <v>0.8</v>
      </c>
      <c r="I18" s="40">
        <f t="shared" si="0"/>
        <v>0.44482319824445221</v>
      </c>
      <c r="J18" s="4">
        <v>265.08233606536203</v>
      </c>
      <c r="K18" s="4">
        <v>189.34503293516858</v>
      </c>
      <c r="L18" s="4">
        <v>1399.9962499999972</v>
      </c>
      <c r="M18" s="40">
        <v>0.7709677419354839</v>
      </c>
      <c r="N18" s="40">
        <v>0.8</v>
      </c>
      <c r="O18" s="40">
        <f t="shared" si="1"/>
        <v>0.33009942980329249</v>
      </c>
      <c r="P18" s="4">
        <v>590.08574177937703</v>
      </c>
      <c r="Q18" s="4">
        <v>323.42228240726138</v>
      </c>
      <c r="R18" s="4">
        <v>1824.5055269145814</v>
      </c>
      <c r="S18" s="40">
        <v>0.7709677419354839</v>
      </c>
      <c r="T18" s="40">
        <v>0.8</v>
      </c>
      <c r="U18" s="40">
        <f t="shared" si="2"/>
        <v>0.56384637797639703</v>
      </c>
      <c r="V18" s="4">
        <v>635.93850975999999</v>
      </c>
      <c r="W18" s="4">
        <v>327.67037396187396</v>
      </c>
      <c r="X18" s="4">
        <v>1940.787328652405</v>
      </c>
      <c r="Y18" s="40">
        <v>0.7709677419354839</v>
      </c>
      <c r="Z18" s="40">
        <v>0.84</v>
      </c>
      <c r="AA18" s="40">
        <f t="shared" si="3"/>
        <v>0.57125239533102157</v>
      </c>
      <c r="AB18" s="4">
        <v>1068.8619902400001</v>
      </c>
      <c r="AC18" s="4">
        <v>464.70240000000007</v>
      </c>
      <c r="AD18" s="4">
        <v>2300.0999999999995</v>
      </c>
      <c r="AE18" s="40">
        <v>0.7709677419354839</v>
      </c>
      <c r="AF18" s="40">
        <v>0.84</v>
      </c>
      <c r="AG18" s="40">
        <f t="shared" si="4"/>
        <v>0.81015062761506285</v>
      </c>
    </row>
    <row r="19" spans="1:33" ht="13.5" customHeight="1" x14ac:dyDescent="0.3">
      <c r="A19" s="49" t="s">
        <v>2</v>
      </c>
      <c r="B19" s="31" t="s">
        <v>42</v>
      </c>
      <c r="C19" s="31">
        <v>30</v>
      </c>
      <c r="D19" s="4">
        <v>161.02340000000001</v>
      </c>
      <c r="E19" s="4">
        <v>161.04316804887793</v>
      </c>
      <c r="F19" s="4">
        <v>999.87725000000012</v>
      </c>
      <c r="G19" s="40">
        <v>0.51666666666666672</v>
      </c>
      <c r="H19" s="40">
        <v>0.8</v>
      </c>
      <c r="I19" s="40">
        <f t="shared" si="0"/>
        <v>0.4329117420668761</v>
      </c>
      <c r="J19" s="4">
        <v>268.37267500000002</v>
      </c>
      <c r="K19" s="4">
        <v>191.69528132664644</v>
      </c>
      <c r="L19" s="4">
        <v>1399.9962499999997</v>
      </c>
      <c r="M19" s="40">
        <v>0.76666666666666672</v>
      </c>
      <c r="N19" s="40">
        <v>0.8</v>
      </c>
      <c r="O19" s="40">
        <f t="shared" si="1"/>
        <v>0.34727406037435948</v>
      </c>
      <c r="P19" s="4">
        <v>471.19569609125199</v>
      </c>
      <c r="Q19" s="4">
        <v>260.69554844858629</v>
      </c>
      <c r="R19" s="4">
        <v>1807.4558575908325</v>
      </c>
      <c r="S19" s="40">
        <v>0.76666666666666672</v>
      </c>
      <c r="T19" s="40">
        <v>0.8</v>
      </c>
      <c r="U19" s="40">
        <f t="shared" si="2"/>
        <v>0.4722745442909172</v>
      </c>
      <c r="V19" s="4">
        <v>813.79964121893499</v>
      </c>
      <c r="W19" s="4">
        <v>408.24000000000046</v>
      </c>
      <c r="X19" s="4">
        <v>1993.4343553275869</v>
      </c>
      <c r="Y19" s="40">
        <v>0.75</v>
      </c>
      <c r="Z19" s="40">
        <v>0.84</v>
      </c>
      <c r="AA19" s="40">
        <f t="shared" si="3"/>
        <v>0.75600000000000089</v>
      </c>
      <c r="AB19" s="4">
        <v>978.18802867950899</v>
      </c>
      <c r="AC19" s="4">
        <v>417.31199999999865</v>
      </c>
      <c r="AD19" s="4">
        <v>2344.020849339372</v>
      </c>
      <c r="AE19" s="40">
        <v>0.76666666666666672</v>
      </c>
      <c r="AF19" s="40">
        <v>0.84</v>
      </c>
      <c r="AG19" s="40">
        <f t="shared" si="4"/>
        <v>0.75599999999999756</v>
      </c>
    </row>
    <row r="20" spans="1:33" ht="12.75" customHeight="1" x14ac:dyDescent="0.3">
      <c r="A20" s="49" t="s">
        <v>2</v>
      </c>
      <c r="B20" s="31" t="s">
        <v>43</v>
      </c>
      <c r="C20" s="31">
        <v>31</v>
      </c>
      <c r="D20" s="4">
        <v>161.02340000000001</v>
      </c>
      <c r="E20" s="4">
        <v>161.0431680488779</v>
      </c>
      <c r="F20" s="4">
        <v>999.87725000000012</v>
      </c>
      <c r="G20" s="40">
        <v>0.42419354838709677</v>
      </c>
      <c r="H20" s="40">
        <v>0.8</v>
      </c>
      <c r="I20" s="40">
        <f t="shared" si="0"/>
        <v>0.51027619787350409</v>
      </c>
      <c r="J20" s="4">
        <v>268.37267500000002</v>
      </c>
      <c r="K20" s="4">
        <v>191.69528132664647</v>
      </c>
      <c r="L20" s="4">
        <v>1399.9962499999995</v>
      </c>
      <c r="M20" s="40">
        <v>0.7709677419354839</v>
      </c>
      <c r="N20" s="40">
        <v>0.8</v>
      </c>
      <c r="O20" s="40">
        <f t="shared" si="1"/>
        <v>0.33419679450252171</v>
      </c>
      <c r="P20" s="4">
        <v>356.79372309677899</v>
      </c>
      <c r="Q20" s="4">
        <v>194.30217718208849</v>
      </c>
      <c r="R20" s="4">
        <v>1836.2826823212231</v>
      </c>
      <c r="S20" s="40">
        <v>0.70645161290322589</v>
      </c>
      <c r="T20" s="40">
        <v>0.8</v>
      </c>
      <c r="U20" s="40">
        <f t="shared" si="2"/>
        <v>0.36967689722619573</v>
      </c>
      <c r="V20" s="4">
        <v>731.92961566517704</v>
      </c>
      <c r="W20" s="4">
        <v>367.7462502476086</v>
      </c>
      <c r="X20" s="4">
        <v>1990.311567207983</v>
      </c>
      <c r="Y20" s="40">
        <v>0.75483870967741939</v>
      </c>
      <c r="Z20" s="40">
        <v>0.84</v>
      </c>
      <c r="AA20" s="40">
        <f t="shared" si="3"/>
        <v>0.65481882166596972</v>
      </c>
      <c r="AB20" s="4">
        <v>951.76807705195995</v>
      </c>
      <c r="AC20" s="4">
        <v>410.83675335730652</v>
      </c>
      <c r="AD20" s="4">
        <v>2316.657575726199</v>
      </c>
      <c r="AE20" s="40">
        <v>0.75483870967741939</v>
      </c>
      <c r="AF20" s="40">
        <v>0.84</v>
      </c>
      <c r="AG20" s="40">
        <f t="shared" si="4"/>
        <v>0.73154692549377942</v>
      </c>
    </row>
    <row r="21" spans="1:33" ht="13.5" customHeight="1" x14ac:dyDescent="0.3">
      <c r="A21" s="49" t="s">
        <v>2</v>
      </c>
      <c r="B21" s="31" t="s">
        <v>44</v>
      </c>
      <c r="C21" s="31">
        <v>30</v>
      </c>
      <c r="D21" s="4">
        <v>161.02340000000001</v>
      </c>
      <c r="E21" s="4">
        <v>161.04316804887804</v>
      </c>
      <c r="F21" s="4">
        <v>999.87724999999989</v>
      </c>
      <c r="G21" s="40">
        <v>0.51666666666666672</v>
      </c>
      <c r="H21" s="40">
        <v>0.8</v>
      </c>
      <c r="I21" s="40">
        <f t="shared" si="0"/>
        <v>0.43291174206687638</v>
      </c>
      <c r="J21" s="4">
        <v>268.37267500000002</v>
      </c>
      <c r="K21" s="4">
        <v>191.69528132664652</v>
      </c>
      <c r="L21" s="4">
        <v>1399.996249999999</v>
      </c>
      <c r="M21" s="40">
        <v>0.76666666666666672</v>
      </c>
      <c r="N21" s="40">
        <v>0.8</v>
      </c>
      <c r="O21" s="40">
        <f t="shared" si="1"/>
        <v>0.34727406037435965</v>
      </c>
      <c r="P21" s="4">
        <v>341.920420600071</v>
      </c>
      <c r="Q21" s="4">
        <v>186.38208392940888</v>
      </c>
      <c r="R21" s="4">
        <v>1834.5133469457896</v>
      </c>
      <c r="S21" s="40">
        <v>0.7</v>
      </c>
      <c r="T21" s="40">
        <v>0.8</v>
      </c>
      <c r="U21" s="40">
        <f t="shared" si="2"/>
        <v>0.3698057220821605</v>
      </c>
      <c r="V21" s="4">
        <v>710.98743260532103</v>
      </c>
      <c r="W21" s="4">
        <v>357.47999999999996</v>
      </c>
      <c r="X21" s="4">
        <v>1988.887301682111</v>
      </c>
      <c r="Y21" s="40">
        <v>0.66666666666666674</v>
      </c>
      <c r="Z21" s="40">
        <v>0.84</v>
      </c>
      <c r="AA21" s="40">
        <f t="shared" si="3"/>
        <v>0.7447499999999998</v>
      </c>
      <c r="AB21" s="4">
        <v>928.71202505268104</v>
      </c>
      <c r="AC21" s="4">
        <v>402.19200000000001</v>
      </c>
      <c r="AD21" s="4">
        <v>2309.1260518674685</v>
      </c>
      <c r="AE21" s="40">
        <v>0.75</v>
      </c>
      <c r="AF21" s="40">
        <v>0.84</v>
      </c>
      <c r="AG21" s="40">
        <f t="shared" si="4"/>
        <v>0.74480000000000002</v>
      </c>
    </row>
    <row r="22" spans="1:33" ht="13.5" customHeight="1" x14ac:dyDescent="0.3">
      <c r="A22" s="49" t="s">
        <v>2</v>
      </c>
      <c r="B22" s="31" t="s">
        <v>45</v>
      </c>
      <c r="C22" s="31">
        <v>31</v>
      </c>
      <c r="D22" s="4">
        <v>165.18899999999999</v>
      </c>
      <c r="E22" s="4">
        <v>165.20927943905116</v>
      </c>
      <c r="F22" s="4">
        <v>999.87724999999989</v>
      </c>
      <c r="G22" s="40">
        <v>0.5209677419354839</v>
      </c>
      <c r="H22" s="40">
        <v>0.8</v>
      </c>
      <c r="I22" s="40">
        <f t="shared" si="0"/>
        <v>0.42623653106050347</v>
      </c>
      <c r="J22" s="4">
        <v>275.315</v>
      </c>
      <c r="K22" s="4">
        <v>196.65409818062011</v>
      </c>
      <c r="L22" s="4">
        <v>1399.9962499999999</v>
      </c>
      <c r="M22" s="40">
        <v>0.7709677419354839</v>
      </c>
      <c r="N22" s="40">
        <v>0.8</v>
      </c>
      <c r="O22" s="40">
        <f t="shared" si="1"/>
        <v>0.34284187269982586</v>
      </c>
      <c r="P22" s="4">
        <v>471.67940041900198</v>
      </c>
      <c r="Q22" s="4">
        <v>259.96826301676805</v>
      </c>
      <c r="R22" s="4">
        <v>1814.3730120956284</v>
      </c>
      <c r="S22" s="40">
        <v>0.7709677419354839</v>
      </c>
      <c r="T22" s="40">
        <v>0.8</v>
      </c>
      <c r="U22" s="40">
        <f t="shared" si="2"/>
        <v>0.45322221585907957</v>
      </c>
      <c r="V22" s="4">
        <v>694.65882297986798</v>
      </c>
      <c r="W22" s="4">
        <v>348.26100969085729</v>
      </c>
      <c r="X22" s="4">
        <v>1994.6499999999983</v>
      </c>
      <c r="Y22" s="40">
        <v>0.7709677419354839</v>
      </c>
      <c r="Z22" s="40">
        <v>0.84</v>
      </c>
      <c r="AA22" s="40">
        <f t="shared" si="3"/>
        <v>0.60714959848475814</v>
      </c>
      <c r="AB22" s="4">
        <v>945.20997702013096</v>
      </c>
      <c r="AC22" s="4">
        <v>402.05759999999844</v>
      </c>
      <c r="AD22" s="4">
        <v>2350.9317496302388</v>
      </c>
      <c r="AE22" s="40">
        <v>0.72258064516129039</v>
      </c>
      <c r="AF22" s="40">
        <v>0.84</v>
      </c>
      <c r="AG22" s="40">
        <f t="shared" si="4"/>
        <v>0.74787499999999707</v>
      </c>
    </row>
    <row r="23" spans="1:33" ht="12.75" customHeight="1" x14ac:dyDescent="0.3">
      <c r="A23" s="49" t="s">
        <v>2</v>
      </c>
      <c r="B23" s="31" t="s">
        <v>46</v>
      </c>
      <c r="C23" s="31">
        <v>31</v>
      </c>
      <c r="D23" s="4">
        <v>165.18899999999999</v>
      </c>
      <c r="E23" s="4">
        <v>165.20927943905107</v>
      </c>
      <c r="F23" s="4">
        <v>999.87724999999989</v>
      </c>
      <c r="G23" s="40">
        <v>0.5209677419354839</v>
      </c>
      <c r="H23" s="40">
        <v>0.8</v>
      </c>
      <c r="I23" s="40">
        <f t="shared" si="0"/>
        <v>0.42623653106050324</v>
      </c>
      <c r="J23" s="4">
        <v>275.31484605064003</v>
      </c>
      <c r="K23" s="4">
        <v>196.65398821649737</v>
      </c>
      <c r="L23" s="4">
        <v>1399.9962499999974</v>
      </c>
      <c r="M23" s="40">
        <v>0.7709677419354839</v>
      </c>
      <c r="N23" s="40">
        <v>0.8</v>
      </c>
      <c r="O23" s="40">
        <f t="shared" si="1"/>
        <v>0.34284168099110418</v>
      </c>
      <c r="P23" s="4">
        <v>385.81517266996798</v>
      </c>
      <c r="Q23" s="4">
        <v>214.06466673936899</v>
      </c>
      <c r="R23" s="4">
        <v>1802.3300087151283</v>
      </c>
      <c r="S23" s="40">
        <v>0.7709677419354839</v>
      </c>
      <c r="T23" s="40">
        <v>0.8</v>
      </c>
      <c r="U23" s="40">
        <f t="shared" si="2"/>
        <v>0.37319502569624996</v>
      </c>
      <c r="V23" s="4">
        <v>640.436928772486</v>
      </c>
      <c r="W23" s="4">
        <v>340.60319999999967</v>
      </c>
      <c r="X23" s="4">
        <v>1880.3021485778365</v>
      </c>
      <c r="Y23" s="40">
        <v>0.62580645161290327</v>
      </c>
      <c r="Z23" s="40">
        <v>0.84</v>
      </c>
      <c r="AA23" s="40">
        <f t="shared" si="3"/>
        <v>0.73153608247422608</v>
      </c>
      <c r="AB23" s="4">
        <v>743.03534448000005</v>
      </c>
      <c r="AC23" s="4">
        <v>323.04480000000007</v>
      </c>
      <c r="AD23" s="4">
        <v>2300.099999999999</v>
      </c>
      <c r="AE23" s="40">
        <v>0.59354838709677415</v>
      </c>
      <c r="AF23" s="40">
        <v>0.84</v>
      </c>
      <c r="AG23" s="40">
        <f t="shared" si="4"/>
        <v>0.7315326086956524</v>
      </c>
    </row>
    <row r="24" spans="1:33" ht="13.5" customHeight="1" x14ac:dyDescent="0.3">
      <c r="A24" s="49" t="s">
        <v>2</v>
      </c>
      <c r="B24" s="31" t="s">
        <v>47</v>
      </c>
      <c r="C24" s="31">
        <v>30</v>
      </c>
      <c r="D24" s="4">
        <v>165.18899983999401</v>
      </c>
      <c r="E24" s="4">
        <v>165.20927927902548</v>
      </c>
      <c r="F24" s="4">
        <v>999.87725000000057</v>
      </c>
      <c r="G24" s="40">
        <v>0.51666666666666672</v>
      </c>
      <c r="H24" s="40">
        <v>0.8</v>
      </c>
      <c r="I24" s="40">
        <f t="shared" si="0"/>
        <v>0.44411096580383186</v>
      </c>
      <c r="J24" s="4">
        <v>275.315</v>
      </c>
      <c r="K24" s="4">
        <v>196.65409818062011</v>
      </c>
      <c r="L24" s="4">
        <v>1399.9962499999999</v>
      </c>
      <c r="M24" s="40">
        <v>0.76666666666666672</v>
      </c>
      <c r="N24" s="40">
        <v>0.8</v>
      </c>
      <c r="O24" s="40">
        <f t="shared" si="1"/>
        <v>0.35625742424025381</v>
      </c>
      <c r="P24" s="4">
        <v>390.57613971742001</v>
      </c>
      <c r="Q24" s="4">
        <v>213.73469723798576</v>
      </c>
      <c r="R24" s="4">
        <v>1827.387620094868</v>
      </c>
      <c r="S24" s="40">
        <v>0.76666666666666672</v>
      </c>
      <c r="T24" s="40">
        <v>0.8</v>
      </c>
      <c r="U24" s="40">
        <f t="shared" si="2"/>
        <v>0.38720053847461189</v>
      </c>
      <c r="V24" s="4">
        <v>558.85839920371302</v>
      </c>
      <c r="W24" s="4">
        <v>280.37009829026817</v>
      </c>
      <c r="X24" s="4">
        <v>1993.2881666472324</v>
      </c>
      <c r="Y24" s="40">
        <v>0.8</v>
      </c>
      <c r="Z24" s="40">
        <v>0.84</v>
      </c>
      <c r="AA24" s="40">
        <f t="shared" si="3"/>
        <v>0.48675364286504891</v>
      </c>
      <c r="AB24" s="4">
        <v>919.83940063628097</v>
      </c>
      <c r="AC24" s="4">
        <v>394.12799993043529</v>
      </c>
      <c r="AD24" s="4">
        <v>2333.8595603424146</v>
      </c>
      <c r="AE24" s="40">
        <v>0.76666666666666672</v>
      </c>
      <c r="AF24" s="40">
        <v>0.84</v>
      </c>
      <c r="AG24" s="40">
        <f t="shared" si="4"/>
        <v>0.713999999873977</v>
      </c>
    </row>
    <row r="25" spans="1:33" ht="12.75" customHeight="1" x14ac:dyDescent="0.3">
      <c r="A25" s="49" t="s">
        <v>2</v>
      </c>
      <c r="B25" s="31" t="s">
        <v>48</v>
      </c>
      <c r="C25" s="31">
        <v>31</v>
      </c>
      <c r="D25" s="4">
        <v>165.19822500000001</v>
      </c>
      <c r="E25" s="4">
        <v>165.21850557155892</v>
      </c>
      <c r="F25" s="4">
        <v>999.87724999999944</v>
      </c>
      <c r="G25" s="40">
        <v>0.5209677419354839</v>
      </c>
      <c r="H25" s="40">
        <v>0.8</v>
      </c>
      <c r="I25" s="40">
        <f t="shared" si="0"/>
        <v>0.42626033429194765</v>
      </c>
      <c r="J25" s="4">
        <v>275.329235853797</v>
      </c>
      <c r="K25" s="4">
        <v>196.66426667485501</v>
      </c>
      <c r="L25" s="4">
        <v>1399.9962499999999</v>
      </c>
      <c r="M25" s="40">
        <v>0.7709677419354839</v>
      </c>
      <c r="N25" s="40">
        <v>0.8</v>
      </c>
      <c r="O25" s="40">
        <f t="shared" si="1"/>
        <v>0.34285960020023537</v>
      </c>
      <c r="P25" s="4">
        <v>336.24412006232302</v>
      </c>
      <c r="Q25" s="4">
        <v>183.60797408328773</v>
      </c>
      <c r="R25" s="4">
        <v>1831.3154520717974</v>
      </c>
      <c r="S25" s="40">
        <v>0.75483870967741939</v>
      </c>
      <c r="T25" s="40">
        <v>0.8</v>
      </c>
      <c r="U25" s="40">
        <f t="shared" si="2"/>
        <v>0.32693727578932996</v>
      </c>
      <c r="V25" s="4">
        <v>821.51341764224401</v>
      </c>
      <c r="W25" s="4">
        <v>411.8784</v>
      </c>
      <c r="X25" s="4">
        <v>1994.5532896171392</v>
      </c>
      <c r="Y25" s="40">
        <v>0.7709677419354839</v>
      </c>
      <c r="Z25" s="40">
        <v>0.84</v>
      </c>
      <c r="AA25" s="40">
        <f t="shared" si="3"/>
        <v>0.71805857740585766</v>
      </c>
      <c r="AB25" s="4">
        <v>871.27019877768998</v>
      </c>
      <c r="AC25" s="4">
        <v>377.43120000000005</v>
      </c>
      <c r="AD25" s="4">
        <v>2308.4212401563245</v>
      </c>
      <c r="AE25" s="40">
        <v>0.70645161290322589</v>
      </c>
      <c r="AF25" s="40">
        <v>0.84</v>
      </c>
      <c r="AG25" s="40">
        <f t="shared" si="4"/>
        <v>0.718095890410959</v>
      </c>
    </row>
    <row r="26" spans="1:33" ht="13.5" customHeight="1" x14ac:dyDescent="0.3">
      <c r="A26" s="49" t="s">
        <v>2</v>
      </c>
      <c r="B26" s="31" t="s">
        <v>49</v>
      </c>
      <c r="C26" s="31">
        <v>30</v>
      </c>
      <c r="D26" s="4">
        <v>165.19822500000001</v>
      </c>
      <c r="E26" s="4">
        <v>165.21850557155889</v>
      </c>
      <c r="F26" s="4">
        <v>999.87724999999966</v>
      </c>
      <c r="G26" s="40">
        <v>0.51666666666666672</v>
      </c>
      <c r="H26" s="40">
        <v>0.8</v>
      </c>
      <c r="I26" s="40">
        <f t="shared" si="0"/>
        <v>0.44413576766548085</v>
      </c>
      <c r="J26" s="4">
        <v>247.67959460977201</v>
      </c>
      <c r="K26" s="4">
        <v>176.91447002788192</v>
      </c>
      <c r="L26" s="4">
        <v>1399.9962499999995</v>
      </c>
      <c r="M26" s="40">
        <v>0.76666666666666672</v>
      </c>
      <c r="N26" s="40">
        <v>0.8</v>
      </c>
      <c r="O26" s="40">
        <f t="shared" si="1"/>
        <v>0.32049722831138028</v>
      </c>
      <c r="P26" s="4">
        <v>268.67613619753701</v>
      </c>
      <c r="Q26" s="4">
        <v>146.58326493371632</v>
      </c>
      <c r="R26" s="4">
        <v>1832.9250362858952</v>
      </c>
      <c r="S26" s="40">
        <v>0.65</v>
      </c>
      <c r="T26" s="40">
        <v>0.8</v>
      </c>
      <c r="U26" s="40">
        <f t="shared" si="2"/>
        <v>0.31321210455922294</v>
      </c>
      <c r="V26" s="4">
        <v>834.24310337278098</v>
      </c>
      <c r="W26" s="4">
        <v>440.28000000000094</v>
      </c>
      <c r="X26" s="4">
        <v>1894.8012704932753</v>
      </c>
      <c r="Y26" s="40">
        <v>0.8</v>
      </c>
      <c r="Z26" s="40">
        <v>0.84</v>
      </c>
      <c r="AA26" s="40">
        <f t="shared" si="3"/>
        <v>0.76437500000000158</v>
      </c>
      <c r="AB26" s="4">
        <v>886.16412719999801</v>
      </c>
      <c r="AC26" s="4">
        <v>385.27199999999937</v>
      </c>
      <c r="AD26" s="4">
        <v>2300.0999999999981</v>
      </c>
      <c r="AE26" s="40">
        <v>0.7</v>
      </c>
      <c r="AF26" s="40">
        <v>0.84</v>
      </c>
      <c r="AG26" s="40">
        <f t="shared" si="4"/>
        <v>0.76442857142857024</v>
      </c>
    </row>
    <row r="27" spans="1:33" ht="13.5" customHeight="1" x14ac:dyDescent="0.3">
      <c r="A27" s="49" t="s">
        <v>2</v>
      </c>
      <c r="B27" s="31" t="s">
        <v>50</v>
      </c>
      <c r="C27" s="31">
        <v>31</v>
      </c>
      <c r="D27" s="4">
        <v>165.19822500000001</v>
      </c>
      <c r="E27" s="4">
        <v>165.21850557155892</v>
      </c>
      <c r="F27" s="4">
        <v>999.87724999999989</v>
      </c>
      <c r="G27" s="40">
        <v>0.5209677419354839</v>
      </c>
      <c r="H27" s="40">
        <v>0.8</v>
      </c>
      <c r="I27" s="40">
        <f t="shared" si="0"/>
        <v>0.42626033429194765</v>
      </c>
      <c r="J27" s="4">
        <v>275.32934999999998</v>
      </c>
      <c r="K27" s="4">
        <v>196.66434820807558</v>
      </c>
      <c r="L27" s="4">
        <v>1399.9962499999997</v>
      </c>
      <c r="M27" s="40">
        <v>0.72258064516129039</v>
      </c>
      <c r="N27" s="40">
        <v>0.8</v>
      </c>
      <c r="O27" s="40">
        <f t="shared" si="1"/>
        <v>0.36581910008942631</v>
      </c>
      <c r="P27" s="4">
        <v>486.27030966903197</v>
      </c>
      <c r="Q27" s="4">
        <v>266.24341680262205</v>
      </c>
      <c r="R27" s="4">
        <v>1826.412519448417</v>
      </c>
      <c r="S27" s="40">
        <v>0.7709677419354839</v>
      </c>
      <c r="T27" s="40">
        <v>0.8</v>
      </c>
      <c r="U27" s="40">
        <f t="shared" si="2"/>
        <v>0.4641621631844875</v>
      </c>
      <c r="V27" s="4">
        <v>740.22602745965696</v>
      </c>
      <c r="W27" s="4">
        <v>373.29256156910242</v>
      </c>
      <c r="X27" s="4">
        <v>1982.9648475934853</v>
      </c>
      <c r="Y27" s="40">
        <v>0.75483870967741939</v>
      </c>
      <c r="Z27" s="40">
        <v>0.84</v>
      </c>
      <c r="AA27" s="40">
        <f t="shared" si="3"/>
        <v>0.66469473213871511</v>
      </c>
      <c r="AB27" s="4">
        <v>1060.2172225403399</v>
      </c>
      <c r="AC27" s="4">
        <v>460.08960000000008</v>
      </c>
      <c r="AD27" s="4">
        <v>2304.3711975674732</v>
      </c>
      <c r="AE27" s="40">
        <v>0.7709677419354839</v>
      </c>
      <c r="AF27" s="40">
        <v>0.84</v>
      </c>
      <c r="AG27" s="40">
        <f t="shared" si="4"/>
        <v>0.80210878661087881</v>
      </c>
    </row>
    <row r="28" spans="1:33" ht="12.75" customHeight="1" x14ac:dyDescent="0.3">
      <c r="A28" s="49" t="s">
        <v>4</v>
      </c>
      <c r="B28" s="31" t="s">
        <v>185</v>
      </c>
      <c r="C28" s="31">
        <v>91</v>
      </c>
      <c r="D28" s="4">
        <v>628.18764999999996</v>
      </c>
      <c r="E28" s="4">
        <v>628.2647695004564</v>
      </c>
      <c r="F28" s="4">
        <v>999.87724999999944</v>
      </c>
      <c r="G28" s="40">
        <v>0.50724879495736008</v>
      </c>
      <c r="H28" s="40">
        <v>0.8</v>
      </c>
      <c r="I28" s="40">
        <f t="shared" si="0"/>
        <v>0.5671122767797252</v>
      </c>
      <c r="J28" s="4">
        <v>473.13618281048099</v>
      </c>
      <c r="K28" s="4">
        <v>337.95532153066949</v>
      </c>
      <c r="L28" s="4">
        <v>1399.9962499999986</v>
      </c>
      <c r="M28" s="40">
        <v>0.75650723025583988</v>
      </c>
      <c r="N28" s="40">
        <v>0.8</v>
      </c>
      <c r="O28" s="40">
        <f t="shared" si="1"/>
        <v>0.20454721567561429</v>
      </c>
      <c r="P28" s="4">
        <v>723.92259452495</v>
      </c>
      <c r="Q28" s="4">
        <v>380.94171838079836</v>
      </c>
      <c r="R28" s="4">
        <v>1900.3499999999995</v>
      </c>
      <c r="S28" s="40">
        <v>0.70886169818316658</v>
      </c>
      <c r="T28" s="40">
        <v>0.8</v>
      </c>
      <c r="U28" s="40">
        <f t="shared" si="2"/>
        <v>0.24606191048906334</v>
      </c>
      <c r="V28" s="4">
        <v>2571.7509430269001</v>
      </c>
      <c r="W28" s="4">
        <v>1306.4687999999994</v>
      </c>
      <c r="X28" s="4">
        <v>1968.474825443134</v>
      </c>
      <c r="Y28" s="40">
        <v>0.74575454208379688</v>
      </c>
      <c r="Z28" s="40">
        <v>0.84</v>
      </c>
      <c r="AA28" s="40">
        <f t="shared" si="3"/>
        <v>0.80214060557848121</v>
      </c>
      <c r="AB28" s="4">
        <v>2842.7524725600001</v>
      </c>
      <c r="AC28" s="4">
        <v>1235.9255999999996</v>
      </c>
      <c r="AD28" s="4">
        <v>2300.1000000000004</v>
      </c>
      <c r="AE28" s="40">
        <v>0.70552465702632572</v>
      </c>
      <c r="AF28" s="40">
        <v>0.84</v>
      </c>
      <c r="AG28" s="40">
        <f t="shared" si="4"/>
        <v>0.80209811856211854</v>
      </c>
    </row>
    <row r="29" spans="1:33" ht="13.5" customHeight="1" x14ac:dyDescent="0.3">
      <c r="A29" s="49" t="s">
        <v>4</v>
      </c>
      <c r="B29" s="31" t="s">
        <v>187</v>
      </c>
      <c r="C29" s="31">
        <v>91</v>
      </c>
      <c r="D29" s="4">
        <v>402.68765000000002</v>
      </c>
      <c r="E29" s="4">
        <v>402.73708597730337</v>
      </c>
      <c r="F29" s="4">
        <v>999.87725000000012</v>
      </c>
      <c r="G29" s="40">
        <v>0.50698924731182793</v>
      </c>
      <c r="H29" s="40">
        <v>0.8</v>
      </c>
      <c r="I29" s="40">
        <f t="shared" si="0"/>
        <v>0.36372256142124165</v>
      </c>
      <c r="J29" s="4">
        <v>1.55415379906254E-4</v>
      </c>
      <c r="K29" s="4">
        <v>1.11011282998975E-4</v>
      </c>
      <c r="L29" s="4">
        <v>1399.9962500000022</v>
      </c>
      <c r="M29" s="40">
        <v>0.76225435669262154</v>
      </c>
      <c r="N29" s="40">
        <v>0.8</v>
      </c>
      <c r="O29" s="40">
        <f t="shared" si="1"/>
        <v>6.6682914418545722E-8</v>
      </c>
      <c r="P29" s="4">
        <v>1163.0584904365701</v>
      </c>
      <c r="Q29" s="4">
        <v>617.20235627512204</v>
      </c>
      <c r="R29" s="4">
        <v>1884.4038403478305</v>
      </c>
      <c r="S29" s="40">
        <v>0.768100358422939</v>
      </c>
      <c r="T29" s="40">
        <v>0.8</v>
      </c>
      <c r="U29" s="40">
        <f t="shared" si="2"/>
        <v>0.36792303034660739</v>
      </c>
      <c r="V29" s="4">
        <v>2583.3372364799998</v>
      </c>
      <c r="W29" s="4">
        <v>1230.0287999999985</v>
      </c>
      <c r="X29" s="4">
        <v>2100.2250000000026</v>
      </c>
      <c r="Y29" s="40">
        <v>0.75698924731182793</v>
      </c>
      <c r="Z29" s="40">
        <v>0.84</v>
      </c>
      <c r="AA29" s="40">
        <f t="shared" si="3"/>
        <v>0.74399999999999911</v>
      </c>
      <c r="AB29" s="4">
        <v>2194.3996144774501</v>
      </c>
      <c r="AC29" s="4">
        <v>941.40145092476723</v>
      </c>
      <c r="AD29" s="4">
        <v>2330.9923862150672</v>
      </c>
      <c r="AE29" s="40">
        <v>0.74623655913978493</v>
      </c>
      <c r="AF29" s="40">
        <v>0.84</v>
      </c>
      <c r="AG29" s="40">
        <f t="shared" si="4"/>
        <v>0.57762463538864883</v>
      </c>
    </row>
    <row r="30" spans="1:33" ht="12.75" customHeight="1" x14ac:dyDescent="0.3">
      <c r="A30" s="49" t="s">
        <v>4</v>
      </c>
      <c r="B30" s="31" t="s">
        <v>188</v>
      </c>
      <c r="C30" s="31">
        <v>92</v>
      </c>
      <c r="D30" s="4">
        <v>304.61360000000002</v>
      </c>
      <c r="E30" s="4">
        <v>304.65099590974785</v>
      </c>
      <c r="F30" s="4">
        <v>999.87724999999966</v>
      </c>
      <c r="G30" s="40">
        <v>0.49534050179211481</v>
      </c>
      <c r="H30" s="40">
        <v>0.8</v>
      </c>
      <c r="I30" s="40">
        <f t="shared" si="0"/>
        <v>0.27854777476332487</v>
      </c>
      <c r="J30" s="4">
        <v>400.95587554494102</v>
      </c>
      <c r="K30" s="4">
        <v>286.397821097693</v>
      </c>
      <c r="L30" s="4">
        <v>1399.9962499999995</v>
      </c>
      <c r="M30" s="40">
        <v>0.76225435669262154</v>
      </c>
      <c r="N30" s="40">
        <v>0.8</v>
      </c>
      <c r="O30" s="40">
        <f t="shared" si="1"/>
        <v>0.17016519088016749</v>
      </c>
      <c r="P30" s="4">
        <v>1356.0138929637701</v>
      </c>
      <c r="Q30" s="4">
        <v>727.59011266764469</v>
      </c>
      <c r="R30" s="4">
        <v>1863.7057724603558</v>
      </c>
      <c r="S30" s="40">
        <v>0.7695340501792115</v>
      </c>
      <c r="T30" s="40">
        <v>0.8</v>
      </c>
      <c r="U30" s="40">
        <f t="shared" si="2"/>
        <v>0.42821303030322233</v>
      </c>
      <c r="V30" s="4">
        <v>2516.6609733497498</v>
      </c>
      <c r="W30" s="4">
        <v>1198.2815999951194</v>
      </c>
      <c r="X30" s="4">
        <v>2100.2250000000004</v>
      </c>
      <c r="Y30" s="40">
        <v>0.7421146953405019</v>
      </c>
      <c r="Z30" s="40">
        <v>0.84</v>
      </c>
      <c r="AA30" s="40">
        <f t="shared" si="3"/>
        <v>0.73128857763527311</v>
      </c>
      <c r="AB30" s="4">
        <v>2015.71234057478</v>
      </c>
      <c r="AC30" s="4">
        <v>868.29361014415383</v>
      </c>
      <c r="AD30" s="4">
        <v>2321.4639806460536</v>
      </c>
      <c r="AE30" s="40">
        <v>0.7587813620071685</v>
      </c>
      <c r="AF30" s="40">
        <v>0.84</v>
      </c>
      <c r="AG30" s="40">
        <f t="shared" si="4"/>
        <v>0.518263807373323</v>
      </c>
    </row>
    <row r="31" spans="1:33" ht="13.5" customHeight="1" x14ac:dyDescent="0.3">
      <c r="A31" s="49" t="s">
        <v>4</v>
      </c>
      <c r="B31" s="31" t="s">
        <v>189</v>
      </c>
      <c r="C31" s="31">
        <v>92</v>
      </c>
      <c r="D31" s="4">
        <v>304.61360000000002</v>
      </c>
      <c r="E31" s="4">
        <v>304.65099590974779</v>
      </c>
      <c r="F31" s="4">
        <v>999.87725000000034</v>
      </c>
      <c r="G31" s="40">
        <v>0.49534050179211481</v>
      </c>
      <c r="H31" s="40">
        <v>0.8</v>
      </c>
      <c r="I31" s="40">
        <f t="shared" si="0"/>
        <v>0.27854777476332482</v>
      </c>
      <c r="J31" s="4">
        <v>989.73639855720205</v>
      </c>
      <c r="K31" s="4">
        <v>706.9564640313871</v>
      </c>
      <c r="L31" s="4">
        <v>1399.9962499999999</v>
      </c>
      <c r="M31" s="40">
        <v>0.76225435669262154</v>
      </c>
      <c r="N31" s="40">
        <v>0.8</v>
      </c>
      <c r="O31" s="40">
        <f t="shared" si="1"/>
        <v>0.42004293602790366</v>
      </c>
      <c r="P31" s="4"/>
      <c r="Q31" s="4"/>
      <c r="R31" s="4"/>
      <c r="S31" s="40">
        <v>0.7695340501792115</v>
      </c>
      <c r="T31" s="40">
        <v>0.8</v>
      </c>
      <c r="U31" s="40">
        <f t="shared" si="2"/>
        <v>0</v>
      </c>
      <c r="V31" s="4">
        <v>1402.5522556267399</v>
      </c>
      <c r="W31" s="4">
        <v>656.61327582524541</v>
      </c>
      <c r="X31" s="4">
        <v>2136.040051678795</v>
      </c>
      <c r="Y31" s="40">
        <v>0.74</v>
      </c>
      <c r="Z31" s="40">
        <v>0.84</v>
      </c>
      <c r="AA31" s="40">
        <f t="shared" si="3"/>
        <v>0.40186378514568977</v>
      </c>
      <c r="AB31" s="4">
        <v>2853.6639712399301</v>
      </c>
      <c r="AC31" s="4">
        <v>1239.5711999999992</v>
      </c>
      <c r="AD31" s="4">
        <v>2302.1380064654063</v>
      </c>
      <c r="AE31" s="40">
        <v>0.7372759856630825</v>
      </c>
      <c r="AF31" s="40">
        <v>0.84</v>
      </c>
      <c r="AG31" s="40">
        <f t="shared" si="4"/>
        <v>0.7614516285853179</v>
      </c>
    </row>
    <row r="32" spans="1:33" ht="13.5" customHeight="1" x14ac:dyDescent="0.3">
      <c r="A32" s="31" t="s">
        <v>6</v>
      </c>
      <c r="B32" s="31" t="s">
        <v>186</v>
      </c>
      <c r="C32" s="31">
        <v>90</v>
      </c>
      <c r="D32" s="4">
        <v>365.86452500000001</v>
      </c>
      <c r="E32" s="4">
        <v>365.90944038380712</v>
      </c>
      <c r="F32" s="4">
        <v>999.87724999999966</v>
      </c>
      <c r="G32" s="40">
        <v>0.48294930875576042</v>
      </c>
      <c r="H32" s="40">
        <v>0.8</v>
      </c>
      <c r="I32" s="40">
        <f t="shared" si="0"/>
        <v>0.35076666562096293</v>
      </c>
      <c r="J32" s="4">
        <v>409.88764581230799</v>
      </c>
      <c r="K32" s="4">
        <v>292.77767409184679</v>
      </c>
      <c r="L32" s="4">
        <v>1399.9962500000008</v>
      </c>
      <c r="M32" s="40">
        <v>0.76225435669262154</v>
      </c>
      <c r="N32" s="40">
        <v>0.8</v>
      </c>
      <c r="O32" s="40">
        <f t="shared" si="1"/>
        <v>0.17782150839398167</v>
      </c>
      <c r="P32" s="4"/>
      <c r="Q32" s="4"/>
      <c r="R32" s="4"/>
      <c r="S32" s="40">
        <v>0.68475422427035326</v>
      </c>
      <c r="T32" s="40">
        <v>0.8</v>
      </c>
      <c r="U32" s="40">
        <f t="shared" si="2"/>
        <v>0</v>
      </c>
      <c r="V32" s="4">
        <v>1519.9267537647499</v>
      </c>
      <c r="W32" s="4">
        <v>716.32574258999989</v>
      </c>
      <c r="X32" s="4">
        <v>2121.8374035661363</v>
      </c>
      <c r="Y32" s="40">
        <v>0.75187245087133858</v>
      </c>
      <c r="Z32" s="40">
        <v>0.84</v>
      </c>
      <c r="AA32" s="40">
        <f t="shared" si="3"/>
        <v>0.44107519546937146</v>
      </c>
      <c r="AB32" s="4">
        <v>2939.40134623525</v>
      </c>
      <c r="AC32" s="4">
        <v>1276.56</v>
      </c>
      <c r="AD32" s="4">
        <v>2302.5955272257079</v>
      </c>
      <c r="AE32" s="40">
        <v>0.72872503840245784</v>
      </c>
      <c r="AF32" s="40">
        <v>0.84</v>
      </c>
      <c r="AG32" s="40">
        <f t="shared" si="4"/>
        <v>0.81100548060708244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F3BD-1C76-4EC9-A5DF-B60802E7F742}">
  <sheetPr>
    <outlinePr summaryBelow="0"/>
  </sheetPr>
  <dimension ref="A1:L33"/>
  <sheetViews>
    <sheetView showGridLines="0" zoomScale="130" zoomScaleNormal="130" workbookViewId="0">
      <pane xSplit="2" ySplit="1" topLeftCell="C2" activePane="bottomRight" state="frozen"/>
      <selection activeCell="R37" sqref="R37"/>
      <selection pane="topRight" activeCell="R37" sqref="R37"/>
      <selection pane="bottomLeft" activeCell="R37" sqref="R37"/>
      <selection pane="bottomRight" activeCell="C12" sqref="C12"/>
    </sheetView>
  </sheetViews>
  <sheetFormatPr defaultRowHeight="14.4" x14ac:dyDescent="0.3"/>
  <cols>
    <col min="1" max="1" width="13.33203125" style="13" bestFit="1" customWidth="1"/>
    <col min="2" max="2" width="16.109375" style="13" customWidth="1"/>
    <col min="3" max="12" width="11.5546875" style="13" customWidth="1"/>
    <col min="13" max="16384" width="8.88671875" style="13"/>
  </cols>
  <sheetData>
    <row r="1" spans="1:12" ht="12.75" customHeight="1" x14ac:dyDescent="0.3">
      <c r="A1" s="31" t="s">
        <v>201</v>
      </c>
      <c r="B1" s="31" t="s">
        <v>211</v>
      </c>
      <c r="C1" s="31" t="s">
        <v>31</v>
      </c>
      <c r="D1" s="31" t="s">
        <v>200</v>
      </c>
      <c r="E1" s="31" t="s">
        <v>37</v>
      </c>
      <c r="F1" s="31" t="s">
        <v>38</v>
      </c>
      <c r="G1" s="31" t="s">
        <v>202</v>
      </c>
      <c r="H1" s="31" t="s">
        <v>203</v>
      </c>
      <c r="I1" s="31" t="s">
        <v>204</v>
      </c>
      <c r="J1" s="31" t="s">
        <v>34</v>
      </c>
      <c r="K1" s="31" t="s">
        <v>35</v>
      </c>
      <c r="L1" s="31" t="s">
        <v>36</v>
      </c>
    </row>
    <row r="2" spans="1:12" ht="13.5" customHeight="1" x14ac:dyDescent="0.3">
      <c r="A2" s="49" t="s">
        <v>0</v>
      </c>
      <c r="B2" s="31" t="s">
        <v>39</v>
      </c>
      <c r="C2" s="43">
        <v>31</v>
      </c>
      <c r="D2" s="33">
        <v>1799.6958958452601</v>
      </c>
      <c r="E2" s="33">
        <v>6401.0494179366751</v>
      </c>
      <c r="F2" s="33">
        <v>281.15638207732775</v>
      </c>
      <c r="G2" s="33">
        <v>50.528819210985176</v>
      </c>
      <c r="H2" s="33">
        <v>6179.7966130025197</v>
      </c>
      <c r="I2" s="44">
        <v>14</v>
      </c>
      <c r="J2" s="45">
        <v>0.80728999999999995</v>
      </c>
      <c r="K2" s="45">
        <v>0.8</v>
      </c>
      <c r="L2" s="45">
        <f t="shared" ref="L2:L30" si="0">+E2/(I2*J2*C2*24)</f>
        <v>0.76123830926519687</v>
      </c>
    </row>
    <row r="3" spans="1:12" ht="12.75" customHeight="1" x14ac:dyDescent="0.3">
      <c r="A3" s="49" t="s">
        <v>0</v>
      </c>
      <c r="B3" s="31" t="s">
        <v>40</v>
      </c>
      <c r="C3" s="43">
        <v>28</v>
      </c>
      <c r="D3" s="33">
        <v>1889.3301345050299</v>
      </c>
      <c r="E3" s="33">
        <v>6285.9673222893407</v>
      </c>
      <c r="F3" s="33">
        <v>300.56314925559275</v>
      </c>
      <c r="G3" s="33">
        <v>47.266273444317186</v>
      </c>
      <c r="H3" s="33">
        <v>5718.5970988601039</v>
      </c>
      <c r="I3" s="44">
        <v>15</v>
      </c>
      <c r="J3" s="45">
        <v>0.82965</v>
      </c>
      <c r="K3" s="45">
        <v>0.8</v>
      </c>
      <c r="L3" s="45">
        <f t="shared" si="0"/>
        <v>0.75165174383744493</v>
      </c>
    </row>
    <row r="4" spans="1:12" ht="13.5" customHeight="1" x14ac:dyDescent="0.3">
      <c r="A4" s="49" t="s">
        <v>0</v>
      </c>
      <c r="B4" s="31" t="s">
        <v>41</v>
      </c>
      <c r="C4" s="43">
        <v>31</v>
      </c>
      <c r="D4" s="33">
        <v>2170.5921539000201</v>
      </c>
      <c r="E4" s="33">
        <v>6227.4453703031068</v>
      </c>
      <c r="F4" s="33">
        <v>348.55258052538642</v>
      </c>
      <c r="G4" s="33">
        <v>40.758556366405401</v>
      </c>
      <c r="H4" s="33">
        <v>4648.6907286488167</v>
      </c>
      <c r="I4" s="44">
        <v>15</v>
      </c>
      <c r="J4" s="45">
        <v>0.79625999999999997</v>
      </c>
      <c r="K4" s="45">
        <v>0.8</v>
      </c>
      <c r="L4" s="45">
        <f t="shared" si="0"/>
        <v>0.70079473805982784</v>
      </c>
    </row>
    <row r="5" spans="1:12" ht="13.5" customHeight="1" x14ac:dyDescent="0.3">
      <c r="A5" s="49" t="s">
        <v>0</v>
      </c>
      <c r="B5" s="31" t="s">
        <v>42</v>
      </c>
      <c r="C5" s="43">
        <v>30</v>
      </c>
      <c r="D5" s="33">
        <v>2054.2854568323801</v>
      </c>
      <c r="E5" s="33">
        <v>6361.3003153623295</v>
      </c>
      <c r="F5" s="33">
        <v>322.93483328736249</v>
      </c>
      <c r="G5" s="33">
        <v>43.991847690702286</v>
      </c>
      <c r="H5" s="33">
        <v>5166.8243895494434</v>
      </c>
      <c r="I5" s="44">
        <v>15</v>
      </c>
      <c r="J5" s="45">
        <v>0.81703000000000003</v>
      </c>
      <c r="K5" s="45">
        <v>0.8</v>
      </c>
      <c r="L5" s="45">
        <f t="shared" si="0"/>
        <v>0.72091512974979499</v>
      </c>
    </row>
    <row r="6" spans="1:12" ht="12.75" customHeight="1" x14ac:dyDescent="0.3">
      <c r="A6" s="49" t="s">
        <v>0</v>
      </c>
      <c r="B6" s="31" t="s">
        <v>43</v>
      </c>
      <c r="C6" s="43">
        <v>31</v>
      </c>
      <c r="D6" s="33">
        <v>1987.3656402682</v>
      </c>
      <c r="E6" s="33">
        <v>6010.9161025269896</v>
      </c>
      <c r="F6" s="33">
        <v>330.62608200981407</v>
      </c>
      <c r="G6" s="33">
        <v>42.968479418324634</v>
      </c>
      <c r="H6" s="33">
        <v>4967.8732601360616</v>
      </c>
      <c r="I6" s="44">
        <v>15</v>
      </c>
      <c r="J6" s="45">
        <v>0.80835000000000001</v>
      </c>
      <c r="K6" s="45">
        <v>0.8</v>
      </c>
      <c r="L6" s="45">
        <f t="shared" si="0"/>
        <v>0.66631107068704598</v>
      </c>
    </row>
    <row r="7" spans="1:12" ht="13.5" customHeight="1" x14ac:dyDescent="0.3">
      <c r="A7" s="49" t="s">
        <v>0</v>
      </c>
      <c r="B7" s="31" t="s">
        <v>44</v>
      </c>
      <c r="C7" s="43">
        <v>30</v>
      </c>
      <c r="D7" s="33">
        <v>1935.10346469246</v>
      </c>
      <c r="E7" s="33">
        <v>6198.7171886220822</v>
      </c>
      <c r="F7" s="33">
        <v>312.17805326631071</v>
      </c>
      <c r="G7" s="33">
        <v>45.507683360049704</v>
      </c>
      <c r="H7" s="33">
        <v>5389.427777976598</v>
      </c>
      <c r="I7" s="44">
        <v>15</v>
      </c>
      <c r="J7" s="45">
        <v>0.80267999999999995</v>
      </c>
      <c r="K7" s="45">
        <v>0.8</v>
      </c>
      <c r="L7" s="45">
        <f t="shared" si="0"/>
        <v>0.71504870588875447</v>
      </c>
    </row>
    <row r="8" spans="1:12" ht="12.75" customHeight="1" x14ac:dyDescent="0.3">
      <c r="A8" s="49" t="s">
        <v>0</v>
      </c>
      <c r="B8" s="31" t="s">
        <v>45</v>
      </c>
      <c r="C8" s="43">
        <v>31</v>
      </c>
      <c r="D8" s="33">
        <v>2136.26040756251</v>
      </c>
      <c r="E8" s="33">
        <v>6605.9866584257315</v>
      </c>
      <c r="F8" s="33">
        <v>323.38248894853217</v>
      </c>
      <c r="G8" s="33">
        <v>43.930950145729781</v>
      </c>
      <c r="H8" s="33">
        <v>5130.2506224223189</v>
      </c>
      <c r="I8" s="44">
        <v>16</v>
      </c>
      <c r="J8" s="45">
        <v>0.81366000000000005</v>
      </c>
      <c r="K8" s="45">
        <v>0.8</v>
      </c>
      <c r="L8" s="45">
        <f t="shared" si="0"/>
        <v>0.68202737674835279</v>
      </c>
    </row>
    <row r="9" spans="1:12" ht="13.5" customHeight="1" x14ac:dyDescent="0.3">
      <c r="A9" s="49" t="s">
        <v>0</v>
      </c>
      <c r="B9" s="31" t="s">
        <v>46</v>
      </c>
      <c r="C9" s="43">
        <v>31</v>
      </c>
      <c r="D9" s="33">
        <v>2252.5172692183501</v>
      </c>
      <c r="E9" s="33">
        <v>6361.1317081024972</v>
      </c>
      <c r="F9" s="33">
        <v>354.10637172457922</v>
      </c>
      <c r="G9" s="33">
        <v>40.119300680219517</v>
      </c>
      <c r="H9" s="33">
        <v>4415.413121445351</v>
      </c>
      <c r="I9" s="44">
        <v>16</v>
      </c>
      <c r="J9" s="45">
        <v>0.78769999999999996</v>
      </c>
      <c r="K9" s="45">
        <v>0.8</v>
      </c>
      <c r="L9" s="45">
        <f t="shared" si="0"/>
        <v>0.67839185364155019</v>
      </c>
    </row>
    <row r="10" spans="1:12" ht="13.5" customHeight="1" x14ac:dyDescent="0.3">
      <c r="A10" s="49" t="s">
        <v>0</v>
      </c>
      <c r="B10" s="31" t="s">
        <v>47</v>
      </c>
      <c r="C10" s="43">
        <v>30</v>
      </c>
      <c r="D10" s="33">
        <v>2252.6803139816602</v>
      </c>
      <c r="E10" s="33">
        <v>6469.6319999999951</v>
      </c>
      <c r="F10" s="33">
        <v>348.19295965854957</v>
      </c>
      <c r="G10" s="33">
        <v>40.800652643670325</v>
      </c>
      <c r="H10" s="33">
        <v>4602.5122433680126</v>
      </c>
      <c r="I10" s="44">
        <v>16</v>
      </c>
      <c r="J10" s="45">
        <v>0.82591999999999999</v>
      </c>
      <c r="K10" s="45">
        <v>0.8</v>
      </c>
      <c r="L10" s="45">
        <f t="shared" si="0"/>
        <v>0.67996900426191353</v>
      </c>
    </row>
    <row r="11" spans="1:12" ht="12.75" customHeight="1" x14ac:dyDescent="0.3">
      <c r="A11" s="49" t="s">
        <v>0</v>
      </c>
      <c r="B11" s="31" t="s">
        <v>48</v>
      </c>
      <c r="C11" s="43">
        <v>31</v>
      </c>
      <c r="D11" s="33">
        <v>2255.3246700609502</v>
      </c>
      <c r="E11" s="33">
        <v>6449.5868021777469</v>
      </c>
      <c r="F11" s="33">
        <v>349.68514096118901</v>
      </c>
      <c r="G11" s="33">
        <v>40.626547530587629</v>
      </c>
      <c r="H11" s="33">
        <v>4536.5557806922825</v>
      </c>
      <c r="I11" s="44">
        <v>16</v>
      </c>
      <c r="J11" s="45">
        <v>0.7923</v>
      </c>
      <c r="K11" s="45">
        <v>0.8</v>
      </c>
      <c r="L11" s="45">
        <f t="shared" si="0"/>
        <v>0.68383183968293826</v>
      </c>
    </row>
    <row r="12" spans="1:12" ht="13.5" customHeight="1" x14ac:dyDescent="0.3">
      <c r="A12" s="49" t="s">
        <v>0</v>
      </c>
      <c r="B12" s="31" t="s">
        <v>49</v>
      </c>
      <c r="C12" s="43">
        <v>30</v>
      </c>
      <c r="D12" s="33">
        <v>1975.6788527000399</v>
      </c>
      <c r="E12" s="33">
        <v>5686.1971572088405</v>
      </c>
      <c r="F12" s="33">
        <v>347.45169716729129</v>
      </c>
      <c r="G12" s="33">
        <v>40.887697817633217</v>
      </c>
      <c r="H12" s="33">
        <v>4727.3526271437731</v>
      </c>
      <c r="I12" s="44">
        <v>14</v>
      </c>
      <c r="J12" s="45">
        <v>0.81574999999999998</v>
      </c>
      <c r="K12" s="45">
        <v>0.8</v>
      </c>
      <c r="L12" s="45">
        <f t="shared" si="0"/>
        <v>0.69151929002048462</v>
      </c>
    </row>
    <row r="13" spans="1:12" ht="12.75" customHeight="1" x14ac:dyDescent="0.3">
      <c r="A13" s="49" t="s">
        <v>0</v>
      </c>
      <c r="B13" s="31" t="s">
        <v>50</v>
      </c>
      <c r="C13" s="43">
        <v>31</v>
      </c>
      <c r="D13" s="33">
        <v>2587.8912999999902</v>
      </c>
      <c r="E13" s="33">
        <v>6656.6085033609634</v>
      </c>
      <c r="F13" s="33">
        <v>388.77024218764694</v>
      </c>
      <c r="G13" s="33">
        <v>36.542148699598656</v>
      </c>
      <c r="H13" s="33">
        <v>3926.2204977072606</v>
      </c>
      <c r="I13" s="44">
        <v>15</v>
      </c>
      <c r="J13" s="45">
        <v>0.78749999999999998</v>
      </c>
      <c r="K13" s="45">
        <v>0.8</v>
      </c>
      <c r="L13" s="45">
        <f t="shared" si="0"/>
        <v>0.75742259809534773</v>
      </c>
    </row>
    <row r="14" spans="1:12" ht="13.5" customHeight="1" x14ac:dyDescent="0.3">
      <c r="A14" s="49" t="s">
        <v>2</v>
      </c>
      <c r="B14" s="31" t="s">
        <v>39</v>
      </c>
      <c r="C14" s="43">
        <v>31</v>
      </c>
      <c r="D14" s="33">
        <v>2804.90353181829</v>
      </c>
      <c r="E14" s="33">
        <v>7478.092800000004</v>
      </c>
      <c r="F14" s="33">
        <v>375.08273925382269</v>
      </c>
      <c r="G14" s="33">
        <v>37.875643193450998</v>
      </c>
      <c r="H14" s="33">
        <v>4263.0039023793051</v>
      </c>
      <c r="I14" s="44">
        <v>16</v>
      </c>
      <c r="J14" s="45">
        <v>0.80600000000000005</v>
      </c>
      <c r="K14" s="45">
        <v>0.8</v>
      </c>
      <c r="L14" s="45">
        <f t="shared" si="0"/>
        <v>0.77940446650124118</v>
      </c>
    </row>
    <row r="15" spans="1:12" ht="12.75" customHeight="1" x14ac:dyDescent="0.3">
      <c r="A15" s="49" t="s">
        <v>2</v>
      </c>
      <c r="B15" s="31" t="s">
        <v>40</v>
      </c>
      <c r="C15" s="43">
        <v>28</v>
      </c>
      <c r="D15" s="33">
        <v>2642.7940385964898</v>
      </c>
      <c r="E15" s="33">
        <v>6380.2367374025471</v>
      </c>
      <c r="F15" s="33">
        <v>414.21567057281266</v>
      </c>
      <c r="G15" s="33">
        <v>34.297350412537654</v>
      </c>
      <c r="H15" s="33">
        <v>3622.6339841252775</v>
      </c>
      <c r="I15" s="44">
        <v>16</v>
      </c>
      <c r="J15" s="45">
        <v>0.77500000000000002</v>
      </c>
      <c r="K15" s="45">
        <v>0.8</v>
      </c>
      <c r="L15" s="45">
        <f t="shared" si="0"/>
        <v>0.76567741184266369</v>
      </c>
    </row>
    <row r="16" spans="1:12" ht="13.5" customHeight="1" x14ac:dyDescent="0.3">
      <c r="A16" s="49" t="s">
        <v>2</v>
      </c>
      <c r="B16" s="31" t="s">
        <v>41</v>
      </c>
      <c r="C16" s="43">
        <v>31</v>
      </c>
      <c r="D16" s="33">
        <v>2719.0178278447402</v>
      </c>
      <c r="E16" s="33">
        <v>7072.1663999999946</v>
      </c>
      <c r="F16" s="33">
        <v>384.46745651300557</v>
      </c>
      <c r="G16" s="33">
        <v>36.951111880439306</v>
      </c>
      <c r="H16" s="33">
        <v>4052.1337431946408</v>
      </c>
      <c r="I16" s="44">
        <v>16</v>
      </c>
      <c r="J16" s="45">
        <v>0.77</v>
      </c>
      <c r="K16" s="45">
        <v>0.8</v>
      </c>
      <c r="L16" s="45">
        <f t="shared" si="0"/>
        <v>0.771558441558441</v>
      </c>
    </row>
    <row r="17" spans="1:12" ht="12.75" customHeight="1" x14ac:dyDescent="0.3">
      <c r="A17" s="49" t="s">
        <v>2</v>
      </c>
      <c r="B17" s="31" t="s">
        <v>42</v>
      </c>
      <c r="C17" s="43">
        <v>30</v>
      </c>
      <c r="D17" s="33">
        <v>2692.5794409896898</v>
      </c>
      <c r="E17" s="33">
        <v>6702.3359999999993</v>
      </c>
      <c r="F17" s="33">
        <v>401.73746004224364</v>
      </c>
      <c r="G17" s="33">
        <v>35.362647034474016</v>
      </c>
      <c r="H17" s="33">
        <v>3819.6786221191392</v>
      </c>
      <c r="I17" s="44">
        <v>16</v>
      </c>
      <c r="J17" s="45">
        <v>0.80800000000000005</v>
      </c>
      <c r="K17" s="45">
        <v>0.8</v>
      </c>
      <c r="L17" s="45">
        <f t="shared" si="0"/>
        <v>0.72004950495049502</v>
      </c>
    </row>
    <row r="18" spans="1:12" ht="13.5" customHeight="1" x14ac:dyDescent="0.3">
      <c r="A18" s="49" t="s">
        <v>2</v>
      </c>
      <c r="B18" s="31" t="s">
        <v>43</v>
      </c>
      <c r="C18" s="43">
        <v>31</v>
      </c>
      <c r="D18" s="33">
        <v>2469.8874908139201</v>
      </c>
      <c r="E18" s="33">
        <v>6693.6188450073669</v>
      </c>
      <c r="F18" s="33">
        <v>368.99135549914973</v>
      </c>
      <c r="G18" s="33">
        <v>38.500901954145533</v>
      </c>
      <c r="H18" s="33">
        <v>4328.2677161340171</v>
      </c>
      <c r="I18" s="44">
        <v>16</v>
      </c>
      <c r="J18" s="45">
        <v>0.80700000000000005</v>
      </c>
      <c r="K18" s="45">
        <v>0.8</v>
      </c>
      <c r="L18" s="45">
        <f t="shared" si="0"/>
        <v>0.69677815387696418</v>
      </c>
    </row>
    <row r="19" spans="1:12" ht="13.5" customHeight="1" x14ac:dyDescent="0.3">
      <c r="A19" s="49" t="s">
        <v>2</v>
      </c>
      <c r="B19" s="31" t="s">
        <v>44</v>
      </c>
      <c r="C19" s="43">
        <v>30</v>
      </c>
      <c r="D19" s="33">
        <v>2411.0159532580701</v>
      </c>
      <c r="E19" s="33">
        <v>6651.6480000000065</v>
      </c>
      <c r="F19" s="33">
        <v>362.46896306871162</v>
      </c>
      <c r="G19" s="33">
        <v>39.193700557768629</v>
      </c>
      <c r="H19" s="33">
        <v>4422.5806314022784</v>
      </c>
      <c r="I19" s="44">
        <v>16</v>
      </c>
      <c r="J19" s="45">
        <v>0.81399999999999995</v>
      </c>
      <c r="K19" s="45">
        <v>0.8</v>
      </c>
      <c r="L19" s="45">
        <f t="shared" si="0"/>
        <v>0.70933660933661014</v>
      </c>
    </row>
    <row r="20" spans="1:12" ht="12.75" customHeight="1" x14ac:dyDescent="0.3">
      <c r="A20" s="49" t="s">
        <v>2</v>
      </c>
      <c r="B20" s="31" t="s">
        <v>45</v>
      </c>
      <c r="C20" s="43">
        <v>31</v>
      </c>
      <c r="D20" s="33">
        <v>2552.0522004190002</v>
      </c>
      <c r="E20" s="33">
        <v>6859.0848000000069</v>
      </c>
      <c r="F20" s="33">
        <v>372.06890931265337</v>
      </c>
      <c r="G20" s="33">
        <v>38.182443209900448</v>
      </c>
      <c r="H20" s="33">
        <v>4276.0753137126758</v>
      </c>
      <c r="I20" s="44">
        <v>16</v>
      </c>
      <c r="J20" s="45">
        <v>0.80900000000000005</v>
      </c>
      <c r="K20" s="45">
        <v>0.8</v>
      </c>
      <c r="L20" s="45">
        <f t="shared" si="0"/>
        <v>0.71223733003708356</v>
      </c>
    </row>
    <row r="21" spans="1:12" ht="13.5" customHeight="1" x14ac:dyDescent="0.3">
      <c r="A21" s="49" t="s">
        <v>2</v>
      </c>
      <c r="B21" s="31" t="s">
        <v>46</v>
      </c>
      <c r="C21" s="43">
        <v>31</v>
      </c>
      <c r="D21" s="33">
        <v>2209.7912919730902</v>
      </c>
      <c r="E21" s="33">
        <v>6544.8192000000017</v>
      </c>
      <c r="F21" s="33">
        <v>337.63977650797273</v>
      </c>
      <c r="G21" s="33">
        <v>42.075907486168227</v>
      </c>
      <c r="H21" s="33">
        <v>4785.71697885701</v>
      </c>
      <c r="I21" s="44">
        <v>16</v>
      </c>
      <c r="J21" s="45">
        <v>0.78900000000000003</v>
      </c>
      <c r="K21" s="45">
        <v>0.8</v>
      </c>
      <c r="L21" s="45">
        <f t="shared" si="0"/>
        <v>0.6968314321926492</v>
      </c>
    </row>
    <row r="22" spans="1:12" ht="12.75" customHeight="1" x14ac:dyDescent="0.3">
      <c r="A22" s="49" t="s">
        <v>2</v>
      </c>
      <c r="B22" s="31" t="s">
        <v>47</v>
      </c>
      <c r="C22" s="43">
        <v>30</v>
      </c>
      <c r="D22" s="33">
        <v>2309.7779393974101</v>
      </c>
      <c r="E22" s="33">
        <v>6392.4479989855308</v>
      </c>
      <c r="F22" s="33">
        <v>361.32917151050231</v>
      </c>
      <c r="G22" s="33">
        <v>39.31733477430312</v>
      </c>
      <c r="H22" s="33">
        <v>4435.0445586672122</v>
      </c>
      <c r="I22" s="44">
        <v>16</v>
      </c>
      <c r="J22" s="45">
        <v>0.81599999999999995</v>
      </c>
      <c r="K22" s="45">
        <v>0.8</v>
      </c>
      <c r="L22" s="45">
        <f t="shared" si="0"/>
        <v>0.68002450969600303</v>
      </c>
    </row>
    <row r="23" spans="1:12" ht="13.5" customHeight="1" x14ac:dyDescent="0.3">
      <c r="A23" s="49" t="s">
        <v>2</v>
      </c>
      <c r="B23" s="31" t="s">
        <v>48</v>
      </c>
      <c r="C23" s="43">
        <v>31</v>
      </c>
      <c r="D23" s="33">
        <v>2469.5551973360498</v>
      </c>
      <c r="E23" s="33">
        <v>6626.9568000000054</v>
      </c>
      <c r="F23" s="33">
        <v>372.6529796204569</v>
      </c>
      <c r="G23" s="33">
        <v>38.122598709580004</v>
      </c>
      <c r="H23" s="33">
        <v>4231.7245478269688</v>
      </c>
      <c r="I23" s="44">
        <v>16</v>
      </c>
      <c r="J23" s="45">
        <v>0.81399999999999995</v>
      </c>
      <c r="K23" s="45">
        <v>0.8</v>
      </c>
      <c r="L23" s="45">
        <f t="shared" si="0"/>
        <v>0.68390663390663453</v>
      </c>
    </row>
    <row r="24" spans="1:12" ht="13.5" customHeight="1" x14ac:dyDescent="0.3">
      <c r="A24" s="49" t="s">
        <v>2</v>
      </c>
      <c r="B24" s="31" t="s">
        <v>49</v>
      </c>
      <c r="C24" s="43">
        <v>30</v>
      </c>
      <c r="D24" s="33">
        <v>2401.9611863800901</v>
      </c>
      <c r="E24" s="33">
        <v>6524.927999999999</v>
      </c>
      <c r="F24" s="33">
        <v>368.12071893821491</v>
      </c>
      <c r="G24" s="33">
        <v>38.591959835828781</v>
      </c>
      <c r="H24" s="33">
        <v>4317.2339651471866</v>
      </c>
      <c r="I24" s="44">
        <v>16</v>
      </c>
      <c r="J24" s="45">
        <v>0.77800000000000002</v>
      </c>
      <c r="K24" s="45">
        <v>0.8</v>
      </c>
      <c r="L24" s="45">
        <f t="shared" si="0"/>
        <v>0.72802056555269912</v>
      </c>
    </row>
    <row r="25" spans="1:12" ht="12.75" customHeight="1" x14ac:dyDescent="0.3">
      <c r="A25" s="49" t="s">
        <v>2</v>
      </c>
      <c r="B25" s="31" t="s">
        <v>50</v>
      </c>
      <c r="C25" s="43">
        <v>31</v>
      </c>
      <c r="D25" s="33">
        <v>2727.2411346690301</v>
      </c>
      <c r="E25" s="33">
        <v>7311.4367999999904</v>
      </c>
      <c r="F25" s="33">
        <v>373.01028638707947</v>
      </c>
      <c r="G25" s="33">
        <v>38.086081050477112</v>
      </c>
      <c r="H25" s="33">
        <v>4270.8712774904488</v>
      </c>
      <c r="I25" s="44">
        <v>16</v>
      </c>
      <c r="J25" s="45">
        <v>0.80400000000000005</v>
      </c>
      <c r="K25" s="45">
        <v>0.8</v>
      </c>
      <c r="L25" s="45">
        <f t="shared" si="0"/>
        <v>0.76393034825870543</v>
      </c>
    </row>
    <row r="26" spans="1:12" ht="12.75" customHeight="1" x14ac:dyDescent="0.3">
      <c r="A26" s="49" t="s">
        <v>4</v>
      </c>
      <c r="B26" s="31" t="s">
        <v>185</v>
      </c>
      <c r="C26" s="43">
        <v>91</v>
      </c>
      <c r="D26" s="33">
        <v>7239.7498429223397</v>
      </c>
      <c r="E26" s="33">
        <v>20983.872000000014</v>
      </c>
      <c r="F26" s="33">
        <v>345.01496401247294</v>
      </c>
      <c r="G26" s="33">
        <v>41.176474883235549</v>
      </c>
      <c r="H26" s="33">
        <v>4782.776724561214</v>
      </c>
      <c r="I26" s="44">
        <v>16</v>
      </c>
      <c r="J26" s="45">
        <v>0.78600000000000003</v>
      </c>
      <c r="K26" s="45">
        <v>0.8</v>
      </c>
      <c r="L26" s="45">
        <f t="shared" si="0"/>
        <v>0.76399491094147642</v>
      </c>
    </row>
    <row r="27" spans="1:12" ht="13.5" customHeight="1" x14ac:dyDescent="0.3">
      <c r="A27" s="49" t="s">
        <v>4</v>
      </c>
      <c r="B27" s="31" t="s">
        <v>187</v>
      </c>
      <c r="C27" s="43">
        <v>91</v>
      </c>
      <c r="D27" s="33">
        <v>6343.4831468093998</v>
      </c>
      <c r="E27" s="33">
        <v>20180.159999999989</v>
      </c>
      <c r="F27" s="33">
        <v>314.34255956391831</v>
      </c>
      <c r="G27" s="33">
        <v>45.194325641772558</v>
      </c>
      <c r="H27" s="33">
        <v>5525.0767523052882</v>
      </c>
      <c r="I27" s="44">
        <v>16</v>
      </c>
      <c r="J27" s="45">
        <v>0.81499999999999995</v>
      </c>
      <c r="K27" s="45">
        <v>0.8</v>
      </c>
      <c r="L27" s="45">
        <f t="shared" si="0"/>
        <v>0.70858895705521441</v>
      </c>
    </row>
    <row r="28" spans="1:12" ht="13.5" customHeight="1" x14ac:dyDescent="0.3">
      <c r="A28" s="49" t="s">
        <v>4</v>
      </c>
      <c r="B28" s="31" t="s">
        <v>188</v>
      </c>
      <c r="C28" s="43">
        <v>92</v>
      </c>
      <c r="D28" s="33">
        <v>6593.9566824332296</v>
      </c>
      <c r="E28" s="33">
        <v>19981.516799951012</v>
      </c>
      <c r="F28" s="33">
        <v>330.00280951891483</v>
      </c>
      <c r="G28" s="33">
        <v>43.049633488607363</v>
      </c>
      <c r="H28" s="33">
        <v>5147.8895012676003</v>
      </c>
      <c r="I28" s="44">
        <v>16</v>
      </c>
      <c r="J28" s="45">
        <v>0.81200000000000006</v>
      </c>
      <c r="K28" s="45">
        <v>0.8</v>
      </c>
      <c r="L28" s="45">
        <f t="shared" si="0"/>
        <v>0.69655172413622324</v>
      </c>
    </row>
    <row r="29" spans="1:12" ht="12.75" customHeight="1" x14ac:dyDescent="0.3">
      <c r="A29" s="49" t="s">
        <v>4</v>
      </c>
      <c r="B29" s="31" t="s">
        <v>189</v>
      </c>
      <c r="C29" s="43">
        <v>92</v>
      </c>
      <c r="D29" s="33">
        <v>5550.5662254238696</v>
      </c>
      <c r="E29" s="33">
        <v>17527.271345565896</v>
      </c>
      <c r="F29" s="33">
        <v>316.68170795039794</v>
      </c>
      <c r="G29" s="33">
        <v>44.860500759409696</v>
      </c>
      <c r="H29" s="33">
        <v>5377.8849031176733</v>
      </c>
      <c r="I29" s="44">
        <v>14</v>
      </c>
      <c r="J29" s="45">
        <v>0.81</v>
      </c>
      <c r="K29" s="45">
        <v>0.8</v>
      </c>
      <c r="L29" s="45">
        <f t="shared" si="0"/>
        <v>0.70000668347127548</v>
      </c>
    </row>
    <row r="30" spans="1:12" ht="12.75" customHeight="1" x14ac:dyDescent="0.3">
      <c r="A30" s="49" t="s">
        <v>6</v>
      </c>
      <c r="B30" s="30" t="s">
        <v>186</v>
      </c>
      <c r="C30" s="43">
        <v>90</v>
      </c>
      <c r="D30" s="33">
        <v>5235.0802708123101</v>
      </c>
      <c r="E30" s="33">
        <v>17361.05394834336</v>
      </c>
      <c r="F30" s="33">
        <v>301.54161644730419</v>
      </c>
      <c r="G30" s="33">
        <v>47.112899928632757</v>
      </c>
      <c r="H30" s="33">
        <v>5800.5643304770392</v>
      </c>
      <c r="I30" s="44">
        <v>14</v>
      </c>
      <c r="J30" s="45">
        <v>0.78500000000000003</v>
      </c>
      <c r="K30" s="45">
        <v>0.8</v>
      </c>
      <c r="L30" s="45">
        <f t="shared" si="0"/>
        <v>0.73134895141809719</v>
      </c>
    </row>
    <row r="31" spans="1:12" x14ac:dyDescent="0.3">
      <c r="D31" s="38"/>
    </row>
    <row r="32" spans="1:12" x14ac:dyDescent="0.3">
      <c r="D32" s="38"/>
    </row>
    <row r="33" spans="4:4" x14ac:dyDescent="0.3">
      <c r="D33" s="38"/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AA0E-5E23-44FA-87C3-1F4827127977}">
  <sheetPr>
    <outlinePr summaryBelow="0"/>
  </sheetPr>
  <dimension ref="A1:AF13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3" sqref="G23"/>
    </sheetView>
  </sheetViews>
  <sheetFormatPr defaultRowHeight="14.4" x14ac:dyDescent="0.3"/>
  <cols>
    <col min="1" max="1" width="11" style="13" customWidth="1"/>
    <col min="2" max="2" width="7" style="13" customWidth="1"/>
    <col min="3" max="3" width="7.33203125" style="13" customWidth="1"/>
    <col min="4" max="32" width="15.33203125" style="13" customWidth="1"/>
    <col min="33" max="16384" width="8.88671875" style="13"/>
  </cols>
  <sheetData>
    <row r="1" spans="1:32" ht="13.5" customHeight="1" x14ac:dyDescent="0.3">
      <c r="C1" s="29" t="s">
        <v>201</v>
      </c>
      <c r="D1" s="53" t="s">
        <v>0</v>
      </c>
      <c r="E1" s="53" t="s">
        <v>0</v>
      </c>
      <c r="F1" s="53" t="s">
        <v>0</v>
      </c>
      <c r="G1" s="53" t="s">
        <v>0</v>
      </c>
      <c r="H1" s="53" t="s">
        <v>0</v>
      </c>
      <c r="I1" s="53" t="s">
        <v>0</v>
      </c>
      <c r="J1" s="53" t="s">
        <v>0</v>
      </c>
      <c r="K1" s="53" t="s">
        <v>0</v>
      </c>
      <c r="L1" s="53" t="s">
        <v>0</v>
      </c>
      <c r="M1" s="53" t="s">
        <v>0</v>
      </c>
      <c r="N1" s="53" t="s">
        <v>0</v>
      </c>
      <c r="O1" s="53" t="s">
        <v>0</v>
      </c>
      <c r="P1" s="53" t="s">
        <v>2</v>
      </c>
      <c r="Q1" s="53" t="s">
        <v>2</v>
      </c>
      <c r="R1" s="53" t="s">
        <v>2</v>
      </c>
      <c r="S1" s="53" t="s">
        <v>2</v>
      </c>
      <c r="T1" s="53" t="s">
        <v>2</v>
      </c>
      <c r="U1" s="53" t="s">
        <v>2</v>
      </c>
      <c r="V1" s="53" t="s">
        <v>2</v>
      </c>
      <c r="W1" s="53" t="s">
        <v>2</v>
      </c>
      <c r="X1" s="53" t="s">
        <v>2</v>
      </c>
      <c r="Y1" s="53" t="s">
        <v>2</v>
      </c>
      <c r="Z1" s="53" t="s">
        <v>2</v>
      </c>
      <c r="AA1" s="53" t="s">
        <v>2</v>
      </c>
      <c r="AB1" s="53" t="s">
        <v>4</v>
      </c>
      <c r="AC1" s="53" t="s">
        <v>4</v>
      </c>
      <c r="AD1" s="53" t="s">
        <v>4</v>
      </c>
      <c r="AE1" s="53" t="s">
        <v>4</v>
      </c>
      <c r="AF1" s="53" t="s">
        <v>6</v>
      </c>
    </row>
    <row r="2" spans="1:32" ht="12.75" customHeight="1" x14ac:dyDescent="0.3">
      <c r="C2" s="29" t="s">
        <v>211</v>
      </c>
      <c r="D2" s="53" t="s">
        <v>39</v>
      </c>
      <c r="E2" s="53" t="s">
        <v>40</v>
      </c>
      <c r="F2" s="53" t="s">
        <v>41</v>
      </c>
      <c r="G2" s="53" t="s">
        <v>42</v>
      </c>
      <c r="H2" s="53" t="s">
        <v>43</v>
      </c>
      <c r="I2" s="53" t="s">
        <v>44</v>
      </c>
      <c r="J2" s="53" t="s">
        <v>45</v>
      </c>
      <c r="K2" s="53" t="s">
        <v>46</v>
      </c>
      <c r="L2" s="53" t="s">
        <v>47</v>
      </c>
      <c r="M2" s="53" t="s">
        <v>48</v>
      </c>
      <c r="N2" s="53" t="s">
        <v>49</v>
      </c>
      <c r="O2" s="53" t="s">
        <v>50</v>
      </c>
      <c r="P2" s="53" t="s">
        <v>39</v>
      </c>
      <c r="Q2" s="53" t="s">
        <v>40</v>
      </c>
      <c r="R2" s="53" t="s">
        <v>41</v>
      </c>
      <c r="S2" s="53" t="s">
        <v>42</v>
      </c>
      <c r="T2" s="53" t="s">
        <v>43</v>
      </c>
      <c r="U2" s="53" t="s">
        <v>44</v>
      </c>
      <c r="V2" s="53" t="s">
        <v>45</v>
      </c>
      <c r="W2" s="53" t="s">
        <v>46</v>
      </c>
      <c r="X2" s="53" t="s">
        <v>47</v>
      </c>
      <c r="Y2" s="53" t="s">
        <v>48</v>
      </c>
      <c r="Z2" s="53" t="s">
        <v>49</v>
      </c>
      <c r="AA2" s="53" t="s">
        <v>50</v>
      </c>
      <c r="AB2" s="53" t="s">
        <v>185</v>
      </c>
      <c r="AC2" s="53" t="s">
        <v>187</v>
      </c>
      <c r="AD2" s="53" t="s">
        <v>188</v>
      </c>
      <c r="AE2" s="53" t="s">
        <v>189</v>
      </c>
      <c r="AF2" s="53" t="s">
        <v>186</v>
      </c>
    </row>
    <row r="3" spans="1:32" ht="13.5" customHeight="1" x14ac:dyDescent="0.3">
      <c r="A3" s="29" t="s">
        <v>180</v>
      </c>
      <c r="B3" s="29" t="s">
        <v>207</v>
      </c>
      <c r="C3" s="29" t="s">
        <v>206</v>
      </c>
      <c r="D3" s="32" t="s">
        <v>200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2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2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</row>
    <row r="4" spans="1:32" ht="12.75" customHeight="1" x14ac:dyDescent="0.3">
      <c r="A4" s="48" t="s">
        <v>193</v>
      </c>
      <c r="B4" s="28" t="s">
        <v>117</v>
      </c>
      <c r="C4" s="28" t="s">
        <v>20</v>
      </c>
      <c r="D4" s="52"/>
      <c r="E4" s="4">
        <v>82</v>
      </c>
      <c r="F4" s="4">
        <v>100.00002499999999</v>
      </c>
      <c r="G4" s="4">
        <v>96.000474999999994</v>
      </c>
      <c r="H4" s="4">
        <v>96.000475000000094</v>
      </c>
      <c r="I4" s="4">
        <v>88.000349999999997</v>
      </c>
      <c r="J4" s="4">
        <v>85.000174999999999</v>
      </c>
      <c r="K4" s="4">
        <v>88.999724999999899</v>
      </c>
      <c r="L4" s="4">
        <v>90.999499999999998</v>
      </c>
      <c r="M4" s="4">
        <v>100.00002499999999</v>
      </c>
      <c r="N4" s="4">
        <v>100.00002499999999</v>
      </c>
      <c r="O4" s="4">
        <v>106.99975000000001</v>
      </c>
      <c r="P4" s="4">
        <v>63.405877623876897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 x14ac:dyDescent="0.3">
      <c r="A5" s="48" t="s">
        <v>193</v>
      </c>
      <c r="B5" s="28" t="s">
        <v>28</v>
      </c>
      <c r="C5" s="28" t="s">
        <v>20</v>
      </c>
      <c r="D5" s="5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453.906131818289</v>
      </c>
      <c r="Q5" s="4">
        <v>469.251283494034</v>
      </c>
      <c r="R5" s="4">
        <v>590.08574177937703</v>
      </c>
      <c r="S5" s="4">
        <v>471.19569609125199</v>
      </c>
      <c r="T5" s="4">
        <v>356.79372309677899</v>
      </c>
      <c r="U5" s="4">
        <v>341.920420600071</v>
      </c>
      <c r="V5" s="4">
        <v>471.67940041900198</v>
      </c>
      <c r="W5" s="4">
        <v>385.81517266996798</v>
      </c>
      <c r="X5" s="4">
        <v>390.57613971742001</v>
      </c>
      <c r="Y5" s="4">
        <v>336.24412006232302</v>
      </c>
      <c r="Z5" s="4">
        <v>268.67613619753701</v>
      </c>
      <c r="AA5" s="4">
        <v>486.27030966903197</v>
      </c>
      <c r="AB5" s="4">
        <v>723.92259452495</v>
      </c>
      <c r="AC5" s="4">
        <v>1163.0584904365701</v>
      </c>
      <c r="AD5" s="4">
        <v>1356.0138929637701</v>
      </c>
      <c r="AE5" s="4"/>
      <c r="AF5" s="4"/>
    </row>
    <row r="6" spans="1:32" ht="13.5" customHeight="1" x14ac:dyDescent="0.3">
      <c r="A6" s="48" t="s">
        <v>193</v>
      </c>
      <c r="B6" s="28" t="s">
        <v>28</v>
      </c>
      <c r="C6" s="28" t="s">
        <v>22</v>
      </c>
      <c r="D6" s="5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v>109.92715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3.5" customHeight="1" x14ac:dyDescent="0.3">
      <c r="A7" s="48" t="s">
        <v>193</v>
      </c>
      <c r="B7" s="28" t="s">
        <v>29</v>
      </c>
      <c r="C7" s="28" t="s">
        <v>17</v>
      </c>
      <c r="D7" s="52">
        <v>433.256095846714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2.75" customHeight="1" x14ac:dyDescent="0.3">
      <c r="A8" s="48" t="s">
        <v>193</v>
      </c>
      <c r="B8" s="28" t="s">
        <v>29</v>
      </c>
      <c r="C8" s="28" t="s">
        <v>18</v>
      </c>
      <c r="D8" s="52"/>
      <c r="E8" s="4">
        <v>186.58985032939799</v>
      </c>
      <c r="F8" s="4">
        <v>205.13818475999199</v>
      </c>
      <c r="G8" s="4">
        <v>486.18027150101898</v>
      </c>
      <c r="H8" s="4">
        <v>194.75363189206499</v>
      </c>
      <c r="I8" s="4">
        <v>212.29033967909299</v>
      </c>
      <c r="J8" s="4">
        <v>267.43692755337997</v>
      </c>
      <c r="K8" s="4">
        <v>370.84161340000099</v>
      </c>
      <c r="L8" s="4">
        <v>510.90564840872901</v>
      </c>
      <c r="M8" s="4">
        <v>478.19113235581398</v>
      </c>
      <c r="N8" s="4">
        <v>506.54220800000002</v>
      </c>
      <c r="O8" s="4">
        <v>627.07031800000004</v>
      </c>
      <c r="P8" s="4">
        <v>716.62059480849803</v>
      </c>
      <c r="Q8" s="4">
        <v>808.56345546245302</v>
      </c>
      <c r="R8" s="4">
        <v>635.93850975999999</v>
      </c>
      <c r="S8" s="4">
        <v>813.79964121893499</v>
      </c>
      <c r="T8" s="4">
        <v>731.92961566517704</v>
      </c>
      <c r="U8" s="4">
        <v>710.98743260532103</v>
      </c>
      <c r="V8" s="4">
        <v>694.65882297986798</v>
      </c>
      <c r="W8" s="4">
        <v>640.436928772486</v>
      </c>
      <c r="X8" s="4">
        <v>558.85839920371302</v>
      </c>
      <c r="Y8" s="4">
        <v>821.51341764224401</v>
      </c>
      <c r="Z8" s="4">
        <v>834.24310337278098</v>
      </c>
      <c r="AA8" s="4">
        <v>740.22602745965696</v>
      </c>
      <c r="AB8" s="4">
        <v>1472.7558274400001</v>
      </c>
      <c r="AC8" s="4"/>
      <c r="AD8" s="4"/>
      <c r="AE8" s="4"/>
      <c r="AF8" s="4"/>
    </row>
    <row r="9" spans="1:32" ht="13.5" customHeight="1" x14ac:dyDescent="0.3">
      <c r="A9" s="48" t="s">
        <v>193</v>
      </c>
      <c r="B9" s="28" t="s">
        <v>29</v>
      </c>
      <c r="C9" s="28" t="s">
        <v>20</v>
      </c>
      <c r="D9" s="5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>
        <v>1098.9951155869101</v>
      </c>
      <c r="AC9" s="4">
        <v>2583.3372364799998</v>
      </c>
      <c r="AD9" s="4">
        <v>2516.6609733497498</v>
      </c>
      <c r="AE9" s="4">
        <v>1402.5522556267399</v>
      </c>
      <c r="AF9" s="4">
        <v>1519.9267537647499</v>
      </c>
    </row>
    <row r="10" spans="1:32" ht="13.5" customHeight="1" x14ac:dyDescent="0.3">
      <c r="A10" s="48" t="s">
        <v>193</v>
      </c>
      <c r="B10" s="28" t="s">
        <v>29</v>
      </c>
      <c r="C10" s="28" t="s">
        <v>22</v>
      </c>
      <c r="D10" s="52"/>
      <c r="E10" s="4">
        <v>249.99955</v>
      </c>
      <c r="F10" s="4">
        <v>270.00037500000002</v>
      </c>
      <c r="G10" s="4">
        <v>232.99992499999999</v>
      </c>
      <c r="H10" s="4">
        <v>260.99984999999998</v>
      </c>
      <c r="I10" s="4">
        <v>241.00004999999999</v>
      </c>
      <c r="J10" s="4">
        <v>247.999775</v>
      </c>
      <c r="K10" s="4">
        <v>239.99965</v>
      </c>
      <c r="L10" s="4">
        <v>260.00047499999999</v>
      </c>
      <c r="M10" s="4">
        <v>249.99955</v>
      </c>
      <c r="N10" s="4">
        <v>249.99955</v>
      </c>
      <c r="O10" s="4">
        <v>234.99969999999999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 x14ac:dyDescent="0.3">
      <c r="A11" s="48" t="s">
        <v>193</v>
      </c>
      <c r="B11" s="28" t="s">
        <v>30</v>
      </c>
      <c r="C11" s="28" t="s">
        <v>18</v>
      </c>
      <c r="D11" s="52">
        <v>898.99982499999999</v>
      </c>
      <c r="E11" s="4">
        <v>948.41007467060194</v>
      </c>
      <c r="F11" s="4">
        <v>1068.8619902400101</v>
      </c>
      <c r="G11" s="4">
        <v>838.81980349898197</v>
      </c>
      <c r="H11" s="4">
        <v>965.24604310793495</v>
      </c>
      <c r="I11" s="4">
        <v>957.70923532090706</v>
      </c>
      <c r="J11" s="4">
        <v>998.56312244662001</v>
      </c>
      <c r="K11" s="4">
        <v>965.15876159999902</v>
      </c>
      <c r="L11" s="4">
        <v>907.09472659127096</v>
      </c>
      <c r="M11" s="4">
        <v>884.83719083681001</v>
      </c>
      <c r="N11" s="4">
        <v>970.45819200000005</v>
      </c>
      <c r="O11" s="4">
        <v>1013.930082</v>
      </c>
      <c r="P11" s="4">
        <v>1100.3179801915001</v>
      </c>
      <c r="Q11" s="4">
        <v>940.84762464000005</v>
      </c>
      <c r="R11" s="4">
        <v>1068.8619902400001</v>
      </c>
      <c r="S11" s="4">
        <v>978.18802867950899</v>
      </c>
      <c r="T11" s="4">
        <v>951.76807705195995</v>
      </c>
      <c r="U11" s="4">
        <v>928.71202505268104</v>
      </c>
      <c r="V11" s="4">
        <v>945.20997702013096</v>
      </c>
      <c r="W11" s="4">
        <v>743.03534448000005</v>
      </c>
      <c r="X11" s="4">
        <v>919.83940063628097</v>
      </c>
      <c r="Y11" s="4">
        <v>871.27019877768998</v>
      </c>
      <c r="Z11" s="4">
        <v>886.16412719999801</v>
      </c>
      <c r="AA11" s="4">
        <v>1060.2172225403399</v>
      </c>
      <c r="AB11" s="4">
        <v>2842.7524725600001</v>
      </c>
      <c r="AC11" s="4">
        <v>2194.3996144774501</v>
      </c>
      <c r="AD11" s="4">
        <v>2015.71234057478</v>
      </c>
      <c r="AE11" s="4">
        <v>201.91892686667401</v>
      </c>
      <c r="AF11" s="4"/>
    </row>
    <row r="12" spans="1:32" ht="12.75" customHeight="1" x14ac:dyDescent="0.3">
      <c r="A12" s="48" t="s">
        <v>193</v>
      </c>
      <c r="B12" s="28" t="s">
        <v>30</v>
      </c>
      <c r="C12" s="28" t="s">
        <v>20</v>
      </c>
      <c r="D12" s="5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>
        <v>2651.74504437326</v>
      </c>
      <c r="AF12" s="4">
        <v>2939.40134623525</v>
      </c>
    </row>
    <row r="13" spans="1:32" ht="12.75" customHeight="1" x14ac:dyDescent="0.3">
      <c r="A13" s="48" t="s">
        <v>112</v>
      </c>
      <c r="B13" s="48" t="s">
        <v>112</v>
      </c>
      <c r="C13" s="48" t="s">
        <v>112</v>
      </c>
      <c r="D13" s="52">
        <v>467.43997499855101</v>
      </c>
      <c r="E13" s="4">
        <v>504.33065950503402</v>
      </c>
      <c r="F13" s="4">
        <v>626.59160390001603</v>
      </c>
      <c r="G13" s="4">
        <v>496.28545683238099</v>
      </c>
      <c r="H13" s="4">
        <v>566.366115268199</v>
      </c>
      <c r="I13" s="4">
        <v>524.10383969246004</v>
      </c>
      <c r="J13" s="4">
        <v>622.26058256251304</v>
      </c>
      <c r="K13" s="4">
        <v>676.51724421835297</v>
      </c>
      <c r="L13" s="4">
        <v>574.67946398165998</v>
      </c>
      <c r="M13" s="4">
        <v>642.29679686832799</v>
      </c>
      <c r="N13" s="4">
        <v>248.67890270003801</v>
      </c>
      <c r="O13" s="4">
        <v>711.891199999994</v>
      </c>
      <c r="P13" s="4">
        <v>424.13167499999997</v>
      </c>
      <c r="Q13" s="4">
        <v>424.13167499999997</v>
      </c>
      <c r="R13" s="4">
        <v>424.131586065362</v>
      </c>
      <c r="S13" s="4">
        <v>429.396075</v>
      </c>
      <c r="T13" s="4">
        <v>429.396075</v>
      </c>
      <c r="U13" s="4">
        <v>429.396075</v>
      </c>
      <c r="V13" s="4">
        <v>440.50400000000002</v>
      </c>
      <c r="W13" s="4">
        <v>440.50384605063999</v>
      </c>
      <c r="X13" s="4">
        <v>440.50399983999398</v>
      </c>
      <c r="Y13" s="4">
        <v>440.52746085379698</v>
      </c>
      <c r="Z13" s="4">
        <v>412.87781960977202</v>
      </c>
      <c r="AA13" s="4">
        <v>440.52757500000001</v>
      </c>
      <c r="AB13" s="4">
        <v>1101.3238328104801</v>
      </c>
      <c r="AC13" s="4">
        <v>402.68780541538001</v>
      </c>
      <c r="AD13" s="4">
        <v>705.56947554494104</v>
      </c>
      <c r="AE13" s="4">
        <v>1294.3499985572</v>
      </c>
      <c r="AF13" s="4">
        <v>775.75217081230801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CE29-A502-45F7-9EFB-A5E61C95F1F7}">
  <sheetPr>
    <outlinePr summaryBelow="0"/>
  </sheetPr>
  <dimension ref="A1:AI80"/>
  <sheetViews>
    <sheetView showGridLines="0" workbookViewId="0">
      <selection activeCell="AH30" sqref="AH30"/>
    </sheetView>
  </sheetViews>
  <sheetFormatPr defaultRowHeight="14.4" x14ac:dyDescent="0.3"/>
  <cols>
    <col min="1" max="1" width="13.44140625" style="13" customWidth="1"/>
    <col min="2" max="2" width="13.33203125" style="13" customWidth="1"/>
    <col min="3" max="35" width="14.33203125" style="13" customWidth="1"/>
    <col min="36" max="16384" width="8.88671875" style="13"/>
  </cols>
  <sheetData>
    <row r="1" spans="1:35" ht="13.5" customHeight="1" x14ac:dyDescent="0.3">
      <c r="B1" s="29" t="s">
        <v>201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1</v>
      </c>
      <c r="P1" s="51" t="s">
        <v>2</v>
      </c>
      <c r="Q1" s="51" t="s">
        <v>2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3</v>
      </c>
      <c r="AC1" s="51" t="s">
        <v>4</v>
      </c>
      <c r="AD1" s="51" t="s">
        <v>4</v>
      </c>
      <c r="AE1" s="51" t="s">
        <v>4</v>
      </c>
      <c r="AF1" s="51" t="s">
        <v>4</v>
      </c>
      <c r="AG1" s="51" t="s">
        <v>5</v>
      </c>
      <c r="AH1" s="31" t="s">
        <v>6</v>
      </c>
      <c r="AI1" s="56" t="s">
        <v>24</v>
      </c>
    </row>
    <row r="2" spans="1:35" ht="12.75" customHeight="1" x14ac:dyDescent="0.3">
      <c r="B2" s="29" t="s">
        <v>211</v>
      </c>
      <c r="C2" s="31" t="s">
        <v>39</v>
      </c>
      <c r="D2" s="31" t="s">
        <v>40</v>
      </c>
      <c r="E2" s="31" t="s">
        <v>41</v>
      </c>
      <c r="F2" s="31" t="s">
        <v>42</v>
      </c>
      <c r="G2" s="31" t="s">
        <v>43</v>
      </c>
      <c r="H2" s="31" t="s">
        <v>44</v>
      </c>
      <c r="I2" s="31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51" t="s">
        <v>1</v>
      </c>
      <c r="P2" s="31" t="s">
        <v>39</v>
      </c>
      <c r="Q2" s="31" t="s">
        <v>40</v>
      </c>
      <c r="R2" s="31" t="s">
        <v>41</v>
      </c>
      <c r="S2" s="31" t="s">
        <v>42</v>
      </c>
      <c r="T2" s="31" t="s">
        <v>43</v>
      </c>
      <c r="U2" s="31" t="s">
        <v>44</v>
      </c>
      <c r="V2" s="31" t="s">
        <v>45</v>
      </c>
      <c r="W2" s="31" t="s">
        <v>46</v>
      </c>
      <c r="X2" s="31" t="s">
        <v>47</v>
      </c>
      <c r="Y2" s="31" t="s">
        <v>48</v>
      </c>
      <c r="Z2" s="31" t="s">
        <v>49</v>
      </c>
      <c r="AA2" s="31" t="s">
        <v>50</v>
      </c>
      <c r="AB2" s="51" t="s">
        <v>3</v>
      </c>
      <c r="AC2" s="31" t="s">
        <v>185</v>
      </c>
      <c r="AD2" s="31" t="s">
        <v>187</v>
      </c>
      <c r="AE2" s="31" t="s">
        <v>188</v>
      </c>
      <c r="AF2" s="31" t="s">
        <v>189</v>
      </c>
      <c r="AG2" s="51" t="s">
        <v>5</v>
      </c>
      <c r="AH2" s="31" t="s">
        <v>186</v>
      </c>
      <c r="AI2" s="56" t="s">
        <v>24</v>
      </c>
    </row>
    <row r="3" spans="1:35" ht="13.5" customHeight="1" x14ac:dyDescent="0.3">
      <c r="A3" s="31" t="s">
        <v>206</v>
      </c>
      <c r="B3" s="31" t="s">
        <v>205</v>
      </c>
      <c r="C3" s="32" t="s">
        <v>200</v>
      </c>
      <c r="D3" s="32" t="s">
        <v>200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1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1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  <c r="AG3" s="31" t="s">
        <v>200</v>
      </c>
      <c r="AH3" s="32" t="s">
        <v>200</v>
      </c>
      <c r="AI3" s="31" t="s">
        <v>200</v>
      </c>
    </row>
    <row r="4" spans="1:35" ht="12.75" customHeight="1" x14ac:dyDescent="0.3">
      <c r="A4" s="29" t="s">
        <v>18</v>
      </c>
      <c r="B4" s="31" t="s">
        <v>119</v>
      </c>
      <c r="C4" s="1">
        <v>22.3732192914404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33">
        <v>22.3732192914404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3"/>
      <c r="AC4" s="1"/>
      <c r="AD4" s="1"/>
      <c r="AE4" s="1"/>
      <c r="AF4" s="1"/>
      <c r="AG4" s="33"/>
      <c r="AH4" s="1"/>
      <c r="AI4" s="33">
        <v>22.3732192914404</v>
      </c>
    </row>
    <row r="5" spans="1:35" ht="13.5" customHeight="1" x14ac:dyDescent="0.3">
      <c r="A5" s="29" t="s">
        <v>18</v>
      </c>
      <c r="B5" s="31" t="s">
        <v>120</v>
      </c>
      <c r="C5" s="1">
        <v>876.62660570855905</v>
      </c>
      <c r="D5" s="1">
        <v>412.95974020930203</v>
      </c>
      <c r="E5" s="1"/>
      <c r="F5" s="1"/>
      <c r="G5" s="1"/>
      <c r="H5" s="1"/>
      <c r="I5" s="1"/>
      <c r="J5" s="1"/>
      <c r="K5" s="1"/>
      <c r="L5" s="1"/>
      <c r="M5" s="1"/>
      <c r="N5" s="1"/>
      <c r="O5" s="33">
        <v>1289.5863459178599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33"/>
      <c r="AC5" s="1"/>
      <c r="AD5" s="1"/>
      <c r="AE5" s="1"/>
      <c r="AF5" s="1"/>
      <c r="AG5" s="33"/>
      <c r="AH5" s="1"/>
      <c r="AI5" s="33">
        <v>1289.5863459178599</v>
      </c>
    </row>
    <row r="6" spans="1:35" ht="13.5" customHeight="1" x14ac:dyDescent="0.3">
      <c r="A6" s="29" t="s">
        <v>18</v>
      </c>
      <c r="B6" s="31" t="s">
        <v>121</v>
      </c>
      <c r="C6" s="1"/>
      <c r="D6" s="1">
        <v>722.04018479069805</v>
      </c>
      <c r="E6" s="1">
        <v>632.66304286665604</v>
      </c>
      <c r="F6" s="1"/>
      <c r="G6" s="1"/>
      <c r="H6" s="1"/>
      <c r="I6" s="1"/>
      <c r="J6" s="1"/>
      <c r="K6" s="1"/>
      <c r="L6" s="1"/>
      <c r="M6" s="1"/>
      <c r="N6" s="1"/>
      <c r="O6" s="33">
        <v>1354.70322765735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33"/>
      <c r="AC6" s="1"/>
      <c r="AD6" s="1"/>
      <c r="AE6" s="1"/>
      <c r="AF6" s="1"/>
      <c r="AG6" s="33"/>
      <c r="AH6" s="1"/>
      <c r="AI6" s="33">
        <v>1354.70322765735</v>
      </c>
    </row>
    <row r="7" spans="1:35" ht="12.75" customHeight="1" x14ac:dyDescent="0.3">
      <c r="A7" s="29" t="s">
        <v>18</v>
      </c>
      <c r="B7" s="31" t="s">
        <v>122</v>
      </c>
      <c r="C7" s="1"/>
      <c r="D7" s="1"/>
      <c r="E7" s="1">
        <v>641.33713213334397</v>
      </c>
      <c r="F7" s="1">
        <v>902.96000562912502</v>
      </c>
      <c r="G7" s="1"/>
      <c r="H7" s="1"/>
      <c r="I7" s="1"/>
      <c r="J7" s="1"/>
      <c r="K7" s="1"/>
      <c r="L7" s="1"/>
      <c r="M7" s="1"/>
      <c r="N7" s="1"/>
      <c r="O7" s="33">
        <v>1544.2971377624699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33"/>
      <c r="AC7" s="1"/>
      <c r="AD7" s="1"/>
      <c r="AE7" s="1"/>
      <c r="AF7" s="1"/>
      <c r="AG7" s="33"/>
      <c r="AH7" s="1"/>
      <c r="AI7" s="33">
        <v>1544.2971377624699</v>
      </c>
    </row>
    <row r="8" spans="1:35" ht="13.5" customHeight="1" x14ac:dyDescent="0.3">
      <c r="A8" s="29" t="s">
        <v>18</v>
      </c>
      <c r="B8" s="31" t="s">
        <v>123</v>
      </c>
      <c r="C8" s="1"/>
      <c r="D8" s="1"/>
      <c r="E8" s="1"/>
      <c r="F8" s="1">
        <v>422.04006937087502</v>
      </c>
      <c r="G8" s="1">
        <v>1098.9742641686601</v>
      </c>
      <c r="H8" s="1"/>
      <c r="I8" s="1"/>
      <c r="J8" s="1"/>
      <c r="K8" s="1"/>
      <c r="L8" s="1"/>
      <c r="M8" s="1"/>
      <c r="N8" s="1"/>
      <c r="O8" s="33">
        <v>1521.0143335395401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3"/>
      <c r="AC8" s="1"/>
      <c r="AD8" s="1"/>
      <c r="AE8" s="1"/>
      <c r="AF8" s="1"/>
      <c r="AG8" s="33"/>
      <c r="AH8" s="1"/>
      <c r="AI8" s="33">
        <v>1521.0143335395401</v>
      </c>
    </row>
    <row r="9" spans="1:35" ht="12.75" customHeight="1" x14ac:dyDescent="0.3">
      <c r="A9" s="29" t="s">
        <v>18</v>
      </c>
      <c r="B9" s="31" t="s">
        <v>124</v>
      </c>
      <c r="C9" s="1"/>
      <c r="D9" s="1"/>
      <c r="E9" s="1"/>
      <c r="F9" s="1"/>
      <c r="G9" s="1">
        <v>61.025410831338696</v>
      </c>
      <c r="H9" s="1">
        <v>1169.999575</v>
      </c>
      <c r="I9" s="1">
        <v>372.79193307416801</v>
      </c>
      <c r="J9" s="1"/>
      <c r="K9" s="1"/>
      <c r="L9" s="1"/>
      <c r="M9" s="1"/>
      <c r="N9" s="1"/>
      <c r="O9" s="33">
        <v>1603.81691890551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3"/>
      <c r="AC9" s="1"/>
      <c r="AD9" s="1"/>
      <c r="AE9" s="1"/>
      <c r="AF9" s="1"/>
      <c r="AG9" s="33"/>
      <c r="AH9" s="1"/>
      <c r="AI9" s="33">
        <v>1603.81691890551</v>
      </c>
    </row>
    <row r="10" spans="1:35" ht="13.5" customHeight="1" x14ac:dyDescent="0.3">
      <c r="A10" s="29" t="s">
        <v>18</v>
      </c>
      <c r="B10" s="31" t="s">
        <v>125</v>
      </c>
      <c r="C10" s="1"/>
      <c r="D10" s="1"/>
      <c r="E10" s="1"/>
      <c r="F10" s="1"/>
      <c r="G10" s="1"/>
      <c r="H10" s="1"/>
      <c r="I10" s="1">
        <v>893.20811692583095</v>
      </c>
      <c r="J10" s="1">
        <v>578.78697549349397</v>
      </c>
      <c r="K10" s="1"/>
      <c r="L10" s="1"/>
      <c r="M10" s="1"/>
      <c r="N10" s="1"/>
      <c r="O10" s="33">
        <v>1471.9950924193199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3"/>
      <c r="AC10" s="1"/>
      <c r="AD10" s="1"/>
      <c r="AE10" s="1"/>
      <c r="AF10" s="1"/>
      <c r="AG10" s="33"/>
      <c r="AH10" s="1"/>
      <c r="AI10" s="33">
        <v>1471.9950924193199</v>
      </c>
    </row>
    <row r="11" spans="1:35" ht="13.5" customHeight="1" x14ac:dyDescent="0.3">
      <c r="A11" s="29" t="s">
        <v>18</v>
      </c>
      <c r="B11" s="31" t="s">
        <v>126</v>
      </c>
      <c r="C11" s="1"/>
      <c r="D11" s="1"/>
      <c r="E11" s="1"/>
      <c r="F11" s="1"/>
      <c r="G11" s="1"/>
      <c r="H11" s="1"/>
      <c r="I11" s="1"/>
      <c r="J11" s="1">
        <v>757.21339950650599</v>
      </c>
      <c r="K11" s="1">
        <v>992.96925576345404</v>
      </c>
      <c r="L11" s="1"/>
      <c r="M11" s="1"/>
      <c r="N11" s="1"/>
      <c r="O11" s="33">
        <v>1750.1826552699599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3"/>
      <c r="AC11" s="1"/>
      <c r="AD11" s="1"/>
      <c r="AE11" s="1"/>
      <c r="AF11" s="1"/>
      <c r="AG11" s="33"/>
      <c r="AH11" s="1"/>
      <c r="AI11" s="33">
        <v>1750.1826552699599</v>
      </c>
    </row>
    <row r="12" spans="1:35" ht="12.75" customHeight="1" x14ac:dyDescent="0.3">
      <c r="A12" s="29" t="s">
        <v>18</v>
      </c>
      <c r="B12" s="31" t="s">
        <v>127</v>
      </c>
      <c r="C12" s="1"/>
      <c r="D12" s="1"/>
      <c r="E12" s="1"/>
      <c r="F12" s="1"/>
      <c r="G12" s="1"/>
      <c r="H12" s="1"/>
      <c r="I12" s="1"/>
      <c r="J12" s="1"/>
      <c r="K12" s="1">
        <v>425.03111923654598</v>
      </c>
      <c r="L12" s="1">
        <v>944.92238729324401</v>
      </c>
      <c r="M12" s="1">
        <v>348.78682859847402</v>
      </c>
      <c r="N12" s="1"/>
      <c r="O12" s="33">
        <v>1718.7403351282601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33"/>
      <c r="AC12" s="1"/>
      <c r="AD12" s="1"/>
      <c r="AE12" s="1"/>
      <c r="AF12" s="1"/>
      <c r="AG12" s="33"/>
      <c r="AH12" s="1"/>
      <c r="AI12" s="33">
        <v>1718.7403351282601</v>
      </c>
    </row>
    <row r="13" spans="1:35" ht="13.5" customHeight="1" x14ac:dyDescent="0.3">
      <c r="A13" s="29" t="s">
        <v>18</v>
      </c>
      <c r="B13" s="31" t="s">
        <v>128</v>
      </c>
      <c r="C13" s="1"/>
      <c r="D13" s="1"/>
      <c r="E13" s="1"/>
      <c r="F13" s="1"/>
      <c r="G13" s="1"/>
      <c r="H13" s="1"/>
      <c r="I13" s="1"/>
      <c r="J13" s="1"/>
      <c r="K13" s="1"/>
      <c r="L13" s="1">
        <v>418.105935899381</v>
      </c>
      <c r="M13" s="1">
        <v>1021.3830280851</v>
      </c>
      <c r="N13" s="1">
        <v>921.67758610765395</v>
      </c>
      <c r="O13" s="33">
        <v>2361.1665500921299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33"/>
      <c r="AC13" s="1"/>
      <c r="AD13" s="1"/>
      <c r="AE13" s="1"/>
      <c r="AF13" s="1"/>
      <c r="AG13" s="33"/>
      <c r="AH13" s="1"/>
      <c r="AI13" s="33">
        <v>2361.1665500921299</v>
      </c>
    </row>
    <row r="14" spans="1:35" ht="12.75" customHeight="1" x14ac:dyDescent="0.3">
      <c r="A14" s="29" t="s">
        <v>18</v>
      </c>
      <c r="B14" s="31" t="s">
        <v>129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106.830543316429</v>
      </c>
      <c r="N14" s="1">
        <v>719.32281389234504</v>
      </c>
      <c r="O14" s="33">
        <v>826.15335720877397</v>
      </c>
      <c r="P14" s="1">
        <v>1325.5165217419101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33">
        <v>1325.5165217419101</v>
      </c>
      <c r="AC14" s="1"/>
      <c r="AD14" s="1"/>
      <c r="AE14" s="1"/>
      <c r="AF14" s="1"/>
      <c r="AG14" s="33"/>
      <c r="AH14" s="1"/>
      <c r="AI14" s="33">
        <v>2151.66987895069</v>
      </c>
    </row>
    <row r="15" spans="1:35" ht="13.5" customHeight="1" x14ac:dyDescent="0.3">
      <c r="A15" s="29" t="s">
        <v>18</v>
      </c>
      <c r="B15" s="31" t="s">
        <v>130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3"/>
      <c r="P15" s="1">
        <v>491.422053258088</v>
      </c>
      <c r="Q15" s="1">
        <v>1749.4110801024499</v>
      </c>
      <c r="R15" s="1">
        <v>144.60438110776099</v>
      </c>
      <c r="S15" s="1"/>
      <c r="T15" s="1"/>
      <c r="U15" s="1"/>
      <c r="V15" s="1"/>
      <c r="W15" s="1"/>
      <c r="X15" s="1"/>
      <c r="Y15" s="1"/>
      <c r="Z15" s="1"/>
      <c r="AA15" s="1"/>
      <c r="AB15" s="33">
        <v>2385.4375144682999</v>
      </c>
      <c r="AC15" s="1"/>
      <c r="AD15" s="1"/>
      <c r="AE15" s="1"/>
      <c r="AF15" s="1"/>
      <c r="AG15" s="33"/>
      <c r="AH15" s="1"/>
      <c r="AI15" s="33">
        <v>2385.4375144682999</v>
      </c>
    </row>
    <row r="16" spans="1:35" ht="13.5" customHeight="1" x14ac:dyDescent="0.3">
      <c r="A16" s="29" t="s">
        <v>18</v>
      </c>
      <c r="B16" s="31" t="s">
        <v>131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3"/>
      <c r="P16" s="1"/>
      <c r="Q16" s="1"/>
      <c r="R16" s="1">
        <v>1560.1961188922401</v>
      </c>
      <c r="S16" s="1">
        <v>769.87836673946799</v>
      </c>
      <c r="T16" s="1">
        <v>419.46561455911001</v>
      </c>
      <c r="U16" s="1"/>
      <c r="V16" s="1"/>
      <c r="W16" s="1"/>
      <c r="X16" s="1"/>
      <c r="Y16" s="1"/>
      <c r="Z16" s="1"/>
      <c r="AA16" s="1"/>
      <c r="AB16" s="33">
        <v>2749.5401001908199</v>
      </c>
      <c r="AC16" s="1"/>
      <c r="AD16" s="1"/>
      <c r="AE16" s="1"/>
      <c r="AF16" s="1"/>
      <c r="AG16" s="33"/>
      <c r="AH16" s="1"/>
      <c r="AI16" s="33">
        <v>2749.5401001908199</v>
      </c>
    </row>
    <row r="17" spans="1:35" ht="12.75" customHeight="1" x14ac:dyDescent="0.3">
      <c r="A17" s="29" t="s">
        <v>18</v>
      </c>
      <c r="B17" s="31" t="s">
        <v>132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3"/>
      <c r="P17" s="1"/>
      <c r="Q17" s="1"/>
      <c r="R17" s="1"/>
      <c r="S17" s="1">
        <v>1022.10930315898</v>
      </c>
      <c r="T17" s="1">
        <v>1264.2320781580299</v>
      </c>
      <c r="U17" s="1">
        <v>644.70731020987</v>
      </c>
      <c r="V17" s="1"/>
      <c r="W17" s="1"/>
      <c r="X17" s="1"/>
      <c r="Y17" s="1"/>
      <c r="Z17" s="1"/>
      <c r="AA17" s="1"/>
      <c r="AB17" s="33">
        <v>2931.0486915268698</v>
      </c>
      <c r="AC17" s="1"/>
      <c r="AD17" s="1"/>
      <c r="AE17" s="1"/>
      <c r="AF17" s="1"/>
      <c r="AG17" s="33"/>
      <c r="AH17" s="1"/>
      <c r="AI17" s="33">
        <v>2931.0486915268698</v>
      </c>
    </row>
    <row r="18" spans="1:35" ht="13.5" customHeight="1" x14ac:dyDescent="0.3">
      <c r="A18" s="29" t="s">
        <v>18</v>
      </c>
      <c r="B18" s="31" t="s">
        <v>133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3"/>
      <c r="P18" s="1"/>
      <c r="Q18" s="1"/>
      <c r="R18" s="1"/>
      <c r="S18" s="1"/>
      <c r="T18" s="1"/>
      <c r="U18" s="1">
        <v>994.99214744813196</v>
      </c>
      <c r="V18" s="1">
        <v>1283.1206937806401</v>
      </c>
      <c r="W18" s="1"/>
      <c r="X18" s="1"/>
      <c r="Y18" s="1"/>
      <c r="Z18" s="1"/>
      <c r="AA18" s="1"/>
      <c r="AB18" s="33">
        <v>2278.1128412287699</v>
      </c>
      <c r="AC18" s="1"/>
      <c r="AD18" s="1"/>
      <c r="AE18" s="1"/>
      <c r="AF18" s="1"/>
      <c r="AG18" s="33"/>
      <c r="AH18" s="1"/>
      <c r="AI18" s="33">
        <v>2278.1128412287699</v>
      </c>
    </row>
    <row r="19" spans="1:35" ht="12.75" customHeight="1" x14ac:dyDescent="0.3">
      <c r="A19" s="29" t="s">
        <v>18</v>
      </c>
      <c r="B19" s="31" t="s">
        <v>134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33"/>
      <c r="P19" s="1"/>
      <c r="Q19" s="1"/>
      <c r="R19" s="1"/>
      <c r="S19" s="1"/>
      <c r="T19" s="1"/>
      <c r="U19" s="1"/>
      <c r="V19" s="1">
        <v>356.74810621935899</v>
      </c>
      <c r="W19" s="1">
        <v>1383.4722732524899</v>
      </c>
      <c r="X19" s="1">
        <v>642.11508956415196</v>
      </c>
      <c r="Y19" s="1"/>
      <c r="Z19" s="1"/>
      <c r="AA19" s="1"/>
      <c r="AB19" s="33">
        <v>2382.3354690360002</v>
      </c>
      <c r="AC19" s="1"/>
      <c r="AD19" s="1"/>
      <c r="AE19" s="1"/>
      <c r="AF19" s="1"/>
      <c r="AG19" s="33"/>
      <c r="AH19" s="1"/>
      <c r="AI19" s="33">
        <v>2382.3354690360002</v>
      </c>
    </row>
    <row r="20" spans="1:35" ht="13.5" customHeight="1" x14ac:dyDescent="0.3">
      <c r="A20" s="29" t="s">
        <v>18</v>
      </c>
      <c r="B20" s="31" t="s">
        <v>135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33"/>
      <c r="P20" s="1"/>
      <c r="Q20" s="1"/>
      <c r="R20" s="1"/>
      <c r="S20" s="1"/>
      <c r="T20" s="1"/>
      <c r="U20" s="1"/>
      <c r="V20" s="1"/>
      <c r="W20" s="1"/>
      <c r="X20" s="1">
        <v>836.58271027584101</v>
      </c>
      <c r="Y20" s="1">
        <v>1269.95114623057</v>
      </c>
      <c r="Z20" s="1"/>
      <c r="AA20" s="1"/>
      <c r="AB20" s="33">
        <v>2106.5338565064098</v>
      </c>
      <c r="AC20" s="1"/>
      <c r="AD20" s="1"/>
      <c r="AE20" s="1"/>
      <c r="AF20" s="1"/>
      <c r="AG20" s="33"/>
      <c r="AH20" s="1"/>
      <c r="AI20" s="33">
        <v>2106.5338565064098</v>
      </c>
    </row>
    <row r="21" spans="1:35" ht="13.5" customHeight="1" x14ac:dyDescent="0.3">
      <c r="A21" s="29" t="s">
        <v>18</v>
      </c>
      <c r="B21" s="31" t="s">
        <v>136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3"/>
      <c r="P21" s="1"/>
      <c r="Q21" s="1"/>
      <c r="R21" s="1"/>
      <c r="S21" s="1"/>
      <c r="T21" s="1"/>
      <c r="U21" s="1"/>
      <c r="V21" s="1"/>
      <c r="W21" s="1"/>
      <c r="X21" s="1"/>
      <c r="Y21" s="1">
        <v>422.832470189368</v>
      </c>
      <c r="Z21" s="1">
        <v>1720.40723057278</v>
      </c>
      <c r="AA21" s="1">
        <v>91.788462415424704</v>
      </c>
      <c r="AB21" s="33">
        <v>2235.0281631775701</v>
      </c>
      <c r="AC21" s="1"/>
      <c r="AD21" s="1"/>
      <c r="AE21" s="1"/>
      <c r="AF21" s="1"/>
      <c r="AG21" s="33"/>
      <c r="AH21" s="1"/>
      <c r="AI21" s="33">
        <v>2235.0281631775701</v>
      </c>
    </row>
    <row r="22" spans="1:35" ht="12.75" customHeight="1" x14ac:dyDescent="0.3">
      <c r="A22" s="29" t="s">
        <v>18</v>
      </c>
      <c r="B22" s="31" t="s">
        <v>137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v>28.9582615524975</v>
      </c>
      <c r="AB22" s="33">
        <v>28.9582615524975</v>
      </c>
      <c r="AC22" s="1"/>
      <c r="AD22" s="1"/>
      <c r="AE22" s="1"/>
      <c r="AF22" s="1"/>
      <c r="AG22" s="33"/>
      <c r="AH22" s="1"/>
      <c r="AI22" s="33">
        <v>28.9582615524975</v>
      </c>
    </row>
    <row r="23" spans="1:35" ht="13.5" customHeight="1" x14ac:dyDescent="0.3">
      <c r="A23" s="29" t="s">
        <v>18</v>
      </c>
      <c r="B23" s="31" t="s">
        <v>138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v>1268.7978928912801</v>
      </c>
      <c r="AB23" s="33">
        <v>1268.7978928912801</v>
      </c>
      <c r="AC23" s="1">
        <v>545.62502181240598</v>
      </c>
      <c r="AD23" s="1"/>
      <c r="AE23" s="1"/>
      <c r="AF23" s="1"/>
      <c r="AG23" s="33">
        <v>545.62502181240598</v>
      </c>
      <c r="AH23" s="1"/>
      <c r="AI23" s="33">
        <v>1814.4229147036799</v>
      </c>
    </row>
    <row r="24" spans="1:35" ht="12.75" customHeight="1" x14ac:dyDescent="0.3">
      <c r="A24" s="29" t="s">
        <v>18</v>
      </c>
      <c r="B24" s="31" t="s">
        <v>139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v>410.89863314079901</v>
      </c>
      <c r="AB24" s="33">
        <v>410.89863314079901</v>
      </c>
      <c r="AC24" s="1">
        <v>1270.75706500366</v>
      </c>
      <c r="AD24" s="1"/>
      <c r="AE24" s="1"/>
      <c r="AF24" s="1"/>
      <c r="AG24" s="33">
        <v>1270.75706500366</v>
      </c>
      <c r="AH24" s="1"/>
      <c r="AI24" s="33">
        <v>1681.6556981444601</v>
      </c>
    </row>
    <row r="25" spans="1:35" ht="13.5" customHeight="1" x14ac:dyDescent="0.3">
      <c r="A25" s="29" t="s">
        <v>18</v>
      </c>
      <c r="B25" s="31" t="s">
        <v>140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3"/>
      <c r="AC25" s="1">
        <v>1531.97992350297</v>
      </c>
      <c r="AD25" s="1"/>
      <c r="AE25" s="1"/>
      <c r="AF25" s="1"/>
      <c r="AG25" s="33">
        <v>1531.97992350297</v>
      </c>
      <c r="AH25" s="1"/>
      <c r="AI25" s="33">
        <v>1531.97992350297</v>
      </c>
    </row>
    <row r="26" spans="1:35" ht="13.5" customHeight="1" x14ac:dyDescent="0.3">
      <c r="A26" s="29" t="s">
        <v>18</v>
      </c>
      <c r="B26" s="31" t="s">
        <v>141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33"/>
      <c r="AC26" s="1">
        <v>967.14628968096201</v>
      </c>
      <c r="AD26" s="1">
        <v>677.33421127810902</v>
      </c>
      <c r="AE26" s="1"/>
      <c r="AF26" s="1"/>
      <c r="AG26" s="33">
        <v>1644.48050095907</v>
      </c>
      <c r="AH26" s="1"/>
      <c r="AI26" s="33">
        <v>1644.48050095907</v>
      </c>
    </row>
    <row r="27" spans="1:35" ht="12.75" customHeight="1" x14ac:dyDescent="0.3">
      <c r="A27" s="29" t="s">
        <v>18</v>
      </c>
      <c r="B27" s="31" t="s">
        <v>142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3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3"/>
      <c r="AC27" s="1"/>
      <c r="AD27" s="1">
        <v>1517.0654031993399</v>
      </c>
      <c r="AE27" s="1"/>
      <c r="AF27" s="1"/>
      <c r="AG27" s="33">
        <v>1517.0654031993399</v>
      </c>
      <c r="AH27" s="1"/>
      <c r="AI27" s="33">
        <v>1517.0654031993399</v>
      </c>
    </row>
    <row r="28" spans="1:35" ht="13.5" customHeight="1" x14ac:dyDescent="0.3">
      <c r="A28" s="29" t="s">
        <v>18</v>
      </c>
      <c r="B28" s="31" t="s">
        <v>143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3"/>
      <c r="AC28" s="1"/>
      <c r="AD28" s="1"/>
      <c r="AE28" s="1">
        <v>1261.4059906034799</v>
      </c>
      <c r="AF28" s="1"/>
      <c r="AG28" s="33">
        <v>1261.4059906034799</v>
      </c>
      <c r="AH28" s="1"/>
      <c r="AI28" s="33">
        <v>1261.4059906034799</v>
      </c>
    </row>
    <row r="29" spans="1:35" ht="12.75" customHeight="1" x14ac:dyDescent="0.3">
      <c r="A29" s="29" t="s">
        <v>18</v>
      </c>
      <c r="B29" s="31" t="s">
        <v>144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33"/>
      <c r="AC29" s="1"/>
      <c r="AD29" s="1"/>
      <c r="AE29" s="1">
        <v>710.19983254633598</v>
      </c>
      <c r="AF29" s="1"/>
      <c r="AG29" s="33">
        <v>710.19983254633598</v>
      </c>
      <c r="AH29" s="1"/>
      <c r="AI29" s="33">
        <v>710.19983254633598</v>
      </c>
    </row>
    <row r="30" spans="1:35" ht="13.5" customHeight="1" x14ac:dyDescent="0.3">
      <c r="A30" s="29" t="s">
        <v>18</v>
      </c>
      <c r="B30" s="31" t="s">
        <v>145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33"/>
      <c r="AC30" s="1"/>
      <c r="AD30" s="1"/>
      <c r="AE30" s="1">
        <v>44.1065174557056</v>
      </c>
      <c r="AF30" s="1">
        <v>201.91892686667401</v>
      </c>
      <c r="AG30" s="33">
        <v>246.025444322379</v>
      </c>
      <c r="AH30" s="1"/>
      <c r="AI30" s="33">
        <v>246.025444322379</v>
      </c>
    </row>
    <row r="31" spans="1:35" ht="13.5" customHeight="1" x14ac:dyDescent="0.3">
      <c r="A31" s="51" t="s">
        <v>19</v>
      </c>
      <c r="B31" s="51" t="s">
        <v>19</v>
      </c>
      <c r="C31" s="33">
        <v>898.99982499999999</v>
      </c>
      <c r="D31" s="33">
        <v>1134.9999250000001</v>
      </c>
      <c r="E31" s="33">
        <v>1274.0001749999999</v>
      </c>
      <c r="F31" s="33">
        <v>1325.0000749999999</v>
      </c>
      <c r="G31" s="33">
        <v>1159.999675</v>
      </c>
      <c r="H31" s="33">
        <v>1169.999575</v>
      </c>
      <c r="I31" s="33">
        <v>1266.0000500000001</v>
      </c>
      <c r="J31" s="33">
        <v>1336.0003750000001</v>
      </c>
      <c r="K31" s="33">
        <v>1418.0003750000001</v>
      </c>
      <c r="L31" s="33">
        <v>1363.0283231926201</v>
      </c>
      <c r="M31" s="33">
        <v>1477.0003999999999</v>
      </c>
      <c r="N31" s="33">
        <v>1641.0003999999999</v>
      </c>
      <c r="O31" s="33">
        <v>15464.029173192601</v>
      </c>
      <c r="P31" s="33">
        <v>1816.9385749999999</v>
      </c>
      <c r="Q31" s="33">
        <v>1749.4110801024499</v>
      </c>
      <c r="R31" s="33">
        <v>1704.8005000000001</v>
      </c>
      <c r="S31" s="33">
        <v>1791.9876698984399</v>
      </c>
      <c r="T31" s="33">
        <v>1683.6976927171399</v>
      </c>
      <c r="U31" s="33">
        <v>1639.699457658</v>
      </c>
      <c r="V31" s="33">
        <v>1639.8688</v>
      </c>
      <c r="W31" s="33">
        <v>1383.4722732524899</v>
      </c>
      <c r="X31" s="33">
        <v>1478.69779983999</v>
      </c>
      <c r="Y31" s="33">
        <v>1692.78361641993</v>
      </c>
      <c r="Z31" s="33">
        <v>1720.40723057278</v>
      </c>
      <c r="AA31" s="33">
        <v>1800.44325</v>
      </c>
      <c r="AB31" s="33">
        <v>20102.207945461199</v>
      </c>
      <c r="AC31" s="33">
        <v>4315.5083000000004</v>
      </c>
      <c r="AD31" s="33">
        <v>2194.3996144774501</v>
      </c>
      <c r="AE31" s="33">
        <v>2015.71234060553</v>
      </c>
      <c r="AF31" s="33">
        <v>201.91892686667401</v>
      </c>
      <c r="AG31" s="33">
        <v>8727.5391819496399</v>
      </c>
      <c r="AH31" s="33"/>
      <c r="AI31" s="33">
        <v>44293.776300603502</v>
      </c>
    </row>
    <row r="32" spans="1:35" ht="12.75" customHeight="1" x14ac:dyDescent="0.3">
      <c r="A32" s="31" t="s">
        <v>17</v>
      </c>
      <c r="B32" s="31" t="s">
        <v>143</v>
      </c>
      <c r="C32" s="1">
        <v>433.256095846714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3">
        <v>433.256095846714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33"/>
      <c r="AC32" s="1"/>
      <c r="AD32" s="1"/>
      <c r="AE32" s="1"/>
      <c r="AF32" s="1"/>
      <c r="AG32" s="33"/>
      <c r="AH32" s="1"/>
      <c r="AI32" s="33">
        <v>433.256095846714</v>
      </c>
    </row>
    <row r="33" spans="1:35" ht="13.5" customHeight="1" x14ac:dyDescent="0.3">
      <c r="A33" s="29" t="s">
        <v>20</v>
      </c>
      <c r="B33" s="31" t="s">
        <v>146</v>
      </c>
      <c r="C33" s="1"/>
      <c r="D33" s="1">
        <v>5.3101991452981698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33">
        <v>5.3101991452981698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33"/>
      <c r="AC33" s="1"/>
      <c r="AD33" s="1"/>
      <c r="AE33" s="1"/>
      <c r="AF33" s="1"/>
      <c r="AG33" s="33"/>
      <c r="AH33" s="1"/>
      <c r="AI33" s="33">
        <v>5.3101991452981698</v>
      </c>
    </row>
    <row r="34" spans="1:35" ht="12.75" customHeight="1" x14ac:dyDescent="0.3">
      <c r="A34" s="29" t="s">
        <v>20</v>
      </c>
      <c r="B34" s="31" t="s">
        <v>147</v>
      </c>
      <c r="C34" s="1"/>
      <c r="D34" s="1">
        <v>39.532059787428501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33">
        <v>39.532059787428501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33"/>
      <c r="AC34" s="1"/>
      <c r="AD34" s="1"/>
      <c r="AE34" s="1"/>
      <c r="AF34" s="1"/>
      <c r="AG34" s="33"/>
      <c r="AH34" s="1"/>
      <c r="AI34" s="33">
        <v>39.532059787428501</v>
      </c>
    </row>
    <row r="35" spans="1:35" ht="13.5" customHeight="1" x14ac:dyDescent="0.3">
      <c r="A35" s="29" t="s">
        <v>20</v>
      </c>
      <c r="B35" s="31" t="s">
        <v>148</v>
      </c>
      <c r="C35" s="1"/>
      <c r="D35" s="1">
        <v>37.1577410672733</v>
      </c>
      <c r="E35" s="1">
        <v>29.8245727015969</v>
      </c>
      <c r="F35" s="1"/>
      <c r="G35" s="1"/>
      <c r="H35" s="1"/>
      <c r="I35" s="1"/>
      <c r="J35" s="1"/>
      <c r="K35" s="1"/>
      <c r="L35" s="1"/>
      <c r="M35" s="1"/>
      <c r="N35" s="1"/>
      <c r="O35" s="33">
        <v>66.982313768870199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33"/>
      <c r="AC35" s="1"/>
      <c r="AD35" s="1"/>
      <c r="AE35" s="1"/>
      <c r="AF35" s="1"/>
      <c r="AG35" s="33"/>
      <c r="AH35" s="1"/>
      <c r="AI35" s="33">
        <v>66.982313768870199</v>
      </c>
    </row>
    <row r="36" spans="1:35" ht="13.5" customHeight="1" x14ac:dyDescent="0.3">
      <c r="A36" s="29" t="s">
        <v>20</v>
      </c>
      <c r="B36" s="31" t="s">
        <v>149</v>
      </c>
      <c r="C36" s="1"/>
      <c r="D36" s="1"/>
      <c r="E36" s="1">
        <v>70.175452298403002</v>
      </c>
      <c r="F36" s="1">
        <v>37.097603940723999</v>
      </c>
      <c r="G36" s="1"/>
      <c r="H36" s="1"/>
      <c r="I36" s="1"/>
      <c r="J36" s="1"/>
      <c r="K36" s="1"/>
      <c r="L36" s="1"/>
      <c r="M36" s="1"/>
      <c r="N36" s="1"/>
      <c r="O36" s="33">
        <v>107.273056239127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33"/>
      <c r="AC36" s="1"/>
      <c r="AD36" s="1"/>
      <c r="AE36" s="1"/>
      <c r="AF36" s="1"/>
      <c r="AG36" s="33"/>
      <c r="AH36" s="1"/>
      <c r="AI36" s="33">
        <v>107.273056239127</v>
      </c>
    </row>
    <row r="37" spans="1:35" ht="12.75" customHeight="1" x14ac:dyDescent="0.3">
      <c r="A37" s="29" t="s">
        <v>20</v>
      </c>
      <c r="B37" s="31" t="s">
        <v>150</v>
      </c>
      <c r="C37" s="1"/>
      <c r="D37" s="1"/>
      <c r="E37" s="1"/>
      <c r="F37" s="1">
        <v>58.902871059276002</v>
      </c>
      <c r="G37" s="1">
        <v>45.762177506257999</v>
      </c>
      <c r="H37" s="1"/>
      <c r="I37" s="1"/>
      <c r="J37" s="1"/>
      <c r="K37" s="1"/>
      <c r="L37" s="1"/>
      <c r="M37" s="1"/>
      <c r="N37" s="1"/>
      <c r="O37" s="33">
        <v>104.66504856553399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33"/>
      <c r="AC37" s="1"/>
      <c r="AD37" s="1"/>
      <c r="AE37" s="1"/>
      <c r="AF37" s="1"/>
      <c r="AG37" s="33"/>
      <c r="AH37" s="1"/>
      <c r="AI37" s="33">
        <v>104.66504856553399</v>
      </c>
    </row>
    <row r="38" spans="1:35" ht="13.5" customHeight="1" x14ac:dyDescent="0.3">
      <c r="A38" s="29" t="s">
        <v>20</v>
      </c>
      <c r="B38" s="31" t="s">
        <v>151</v>
      </c>
      <c r="C38" s="1"/>
      <c r="D38" s="1"/>
      <c r="E38" s="1"/>
      <c r="F38" s="1"/>
      <c r="G38" s="1">
        <v>50.238297493742003</v>
      </c>
      <c r="H38" s="1">
        <v>44.358250001568301</v>
      </c>
      <c r="I38" s="1"/>
      <c r="J38" s="1"/>
      <c r="K38" s="1"/>
      <c r="L38" s="1"/>
      <c r="M38" s="1"/>
      <c r="N38" s="1"/>
      <c r="O38" s="33">
        <v>94.596547495310304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3"/>
      <c r="AC38" s="1"/>
      <c r="AD38" s="1"/>
      <c r="AE38" s="1"/>
      <c r="AF38" s="1"/>
      <c r="AG38" s="33"/>
      <c r="AH38" s="1"/>
      <c r="AI38" s="33">
        <v>94.596547495310304</v>
      </c>
    </row>
    <row r="39" spans="1:35" ht="12.75" customHeight="1" x14ac:dyDescent="0.3">
      <c r="A39" s="29" t="s">
        <v>20</v>
      </c>
      <c r="B39" s="31" t="s">
        <v>152</v>
      </c>
      <c r="C39" s="1"/>
      <c r="D39" s="1"/>
      <c r="E39" s="1"/>
      <c r="F39" s="1"/>
      <c r="G39" s="1"/>
      <c r="H39" s="1">
        <v>43.642099998431704</v>
      </c>
      <c r="I39" s="1">
        <v>17.382068464254498</v>
      </c>
      <c r="J39" s="1"/>
      <c r="K39" s="1"/>
      <c r="L39" s="1"/>
      <c r="M39" s="1"/>
      <c r="N39" s="1"/>
      <c r="O39" s="33">
        <v>61.024168462686198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33"/>
      <c r="AC39" s="1"/>
      <c r="AD39" s="1"/>
      <c r="AE39" s="1"/>
      <c r="AF39" s="1"/>
      <c r="AG39" s="33"/>
      <c r="AH39" s="1"/>
      <c r="AI39" s="33">
        <v>61.024168462686198</v>
      </c>
    </row>
    <row r="40" spans="1:35" ht="13.5" customHeight="1" x14ac:dyDescent="0.3">
      <c r="A40" s="29" t="s">
        <v>20</v>
      </c>
      <c r="B40" s="31" t="s">
        <v>153</v>
      </c>
      <c r="C40" s="1"/>
      <c r="D40" s="1"/>
      <c r="E40" s="1"/>
      <c r="F40" s="1"/>
      <c r="G40" s="1"/>
      <c r="H40" s="1"/>
      <c r="I40" s="1">
        <v>67.618106535745497</v>
      </c>
      <c r="J40" s="1">
        <v>88.999724999999899</v>
      </c>
      <c r="K40" s="1">
        <v>41.254458735070997</v>
      </c>
      <c r="L40" s="1"/>
      <c r="M40" s="1"/>
      <c r="N40" s="1"/>
      <c r="O40" s="33">
        <v>197.87229027081599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33"/>
      <c r="AC40" s="1"/>
      <c r="AD40" s="1"/>
      <c r="AE40" s="1"/>
      <c r="AF40" s="1"/>
      <c r="AG40" s="33"/>
      <c r="AH40" s="1"/>
      <c r="AI40" s="33">
        <v>197.87229027081599</v>
      </c>
    </row>
    <row r="41" spans="1:35" ht="13.5" customHeight="1" x14ac:dyDescent="0.3">
      <c r="A41" s="29" t="s">
        <v>20</v>
      </c>
      <c r="B41" s="31" t="s">
        <v>154</v>
      </c>
      <c r="C41" s="1"/>
      <c r="D41" s="1"/>
      <c r="E41" s="1"/>
      <c r="F41" s="1"/>
      <c r="G41" s="1"/>
      <c r="H41" s="1"/>
      <c r="I41" s="1"/>
      <c r="J41" s="1"/>
      <c r="K41" s="1">
        <v>49.745041264929</v>
      </c>
      <c r="L41" s="1">
        <v>87.139807544564306</v>
      </c>
      <c r="M41" s="1"/>
      <c r="N41" s="1"/>
      <c r="O41" s="33">
        <v>136.88484880949301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33"/>
      <c r="AC41" s="1"/>
      <c r="AD41" s="1"/>
      <c r="AE41" s="1"/>
      <c r="AF41" s="1"/>
      <c r="AG41" s="33"/>
      <c r="AH41" s="1"/>
      <c r="AI41" s="33">
        <v>136.88484880949301</v>
      </c>
    </row>
    <row r="42" spans="1:35" ht="12.75" customHeight="1" x14ac:dyDescent="0.3">
      <c r="A42" s="29" t="s">
        <v>20</v>
      </c>
      <c r="B42" s="31" t="s">
        <v>155</v>
      </c>
      <c r="C42" s="1"/>
      <c r="D42" s="1"/>
      <c r="E42" s="1"/>
      <c r="F42" s="1"/>
      <c r="G42" s="1"/>
      <c r="H42" s="1"/>
      <c r="I42" s="1"/>
      <c r="J42" s="1"/>
      <c r="K42" s="1"/>
      <c r="L42" s="1">
        <v>12.8602174554357</v>
      </c>
      <c r="M42" s="1">
        <v>100.00002499999999</v>
      </c>
      <c r="N42" s="1">
        <v>106.99975000000001</v>
      </c>
      <c r="O42" s="33">
        <v>219.85999245543599</v>
      </c>
      <c r="P42" s="1">
        <v>63.405877623876897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33">
        <v>63.405877623876897</v>
      </c>
      <c r="AC42" s="1"/>
      <c r="AD42" s="1"/>
      <c r="AE42" s="1"/>
      <c r="AF42" s="1"/>
      <c r="AG42" s="33"/>
      <c r="AH42" s="1"/>
      <c r="AI42" s="33">
        <v>283.26587007931198</v>
      </c>
    </row>
    <row r="43" spans="1:35" ht="13.5" customHeight="1" x14ac:dyDescent="0.3">
      <c r="A43" s="29" t="s">
        <v>20</v>
      </c>
      <c r="B43" s="31" t="s">
        <v>156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33"/>
      <c r="P43" s="1">
        <v>263.821715674252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3">
        <v>263.821715674252</v>
      </c>
      <c r="AC43" s="1"/>
      <c r="AD43" s="1"/>
      <c r="AE43" s="1"/>
      <c r="AF43" s="1"/>
      <c r="AG43" s="33"/>
      <c r="AH43" s="1"/>
      <c r="AI43" s="33">
        <v>263.821715674252</v>
      </c>
    </row>
    <row r="44" spans="1:35" ht="12.75" customHeight="1" x14ac:dyDescent="0.3">
      <c r="A44" s="29" t="s">
        <v>20</v>
      </c>
      <c r="B44" s="31" t="s">
        <v>157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33"/>
      <c r="P44" s="1">
        <v>190.08441614403799</v>
      </c>
      <c r="Q44" s="1">
        <v>228.199851264725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33">
        <v>418.28426740876301</v>
      </c>
      <c r="AC44" s="1"/>
      <c r="AD44" s="1"/>
      <c r="AE44" s="1"/>
      <c r="AF44" s="1"/>
      <c r="AG44" s="33"/>
      <c r="AH44" s="1"/>
      <c r="AI44" s="33">
        <v>418.28426740876301</v>
      </c>
    </row>
    <row r="45" spans="1:35" ht="13.5" customHeight="1" x14ac:dyDescent="0.3">
      <c r="A45" s="29" t="s">
        <v>20</v>
      </c>
      <c r="B45" s="31" t="s">
        <v>158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3"/>
      <c r="P45" s="1"/>
      <c r="Q45" s="1">
        <v>241.051432229309</v>
      </c>
      <c r="R45" s="1">
        <v>153.23111830957299</v>
      </c>
      <c r="S45" s="1"/>
      <c r="T45" s="1"/>
      <c r="U45" s="1"/>
      <c r="V45" s="1"/>
      <c r="W45" s="1"/>
      <c r="X45" s="1"/>
      <c r="Y45" s="1"/>
      <c r="Z45" s="1"/>
      <c r="AA45" s="1"/>
      <c r="AB45" s="33">
        <v>394.28255053888199</v>
      </c>
      <c r="AC45" s="1"/>
      <c r="AD45" s="1"/>
      <c r="AE45" s="1"/>
      <c r="AF45" s="1"/>
      <c r="AG45" s="33"/>
      <c r="AH45" s="1"/>
      <c r="AI45" s="33">
        <v>394.28255053888199</v>
      </c>
    </row>
    <row r="46" spans="1:35" ht="13.5" customHeight="1" x14ac:dyDescent="0.3">
      <c r="A46" s="29" t="s">
        <v>20</v>
      </c>
      <c r="B46" s="31" t="s">
        <v>159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3"/>
      <c r="P46" s="1"/>
      <c r="Q46" s="1"/>
      <c r="R46" s="1">
        <v>436.85462346980398</v>
      </c>
      <c r="S46" s="1">
        <v>68.847374329981506</v>
      </c>
      <c r="T46" s="1"/>
      <c r="U46" s="1"/>
      <c r="V46" s="1"/>
      <c r="W46" s="1"/>
      <c r="X46" s="1"/>
      <c r="Y46" s="1"/>
      <c r="Z46" s="1"/>
      <c r="AA46" s="1"/>
      <c r="AB46" s="33">
        <v>505.70199779978498</v>
      </c>
      <c r="AC46" s="1"/>
      <c r="AD46" s="1"/>
      <c r="AE46" s="1"/>
      <c r="AF46" s="1"/>
      <c r="AG46" s="33"/>
      <c r="AH46" s="1"/>
      <c r="AI46" s="33">
        <v>505.70199779978498</v>
      </c>
    </row>
    <row r="47" spans="1:35" ht="12.75" customHeight="1" x14ac:dyDescent="0.3">
      <c r="A47" s="29" t="s">
        <v>20</v>
      </c>
      <c r="B47" s="31" t="s">
        <v>160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33"/>
      <c r="P47" s="1"/>
      <c r="Q47" s="1"/>
      <c r="R47" s="1"/>
      <c r="S47" s="1">
        <v>402.34832176126997</v>
      </c>
      <c r="T47" s="1">
        <v>17.881385586731</v>
      </c>
      <c r="U47" s="1"/>
      <c r="V47" s="1"/>
      <c r="W47" s="1"/>
      <c r="X47" s="1"/>
      <c r="Y47" s="1"/>
      <c r="Z47" s="1"/>
      <c r="AA47" s="1"/>
      <c r="AB47" s="33">
        <v>420.229707348001</v>
      </c>
      <c r="AC47" s="1"/>
      <c r="AD47" s="1"/>
      <c r="AE47" s="1"/>
      <c r="AF47" s="1"/>
      <c r="AG47" s="33"/>
      <c r="AH47" s="1"/>
      <c r="AI47" s="33">
        <v>420.229707348001</v>
      </c>
    </row>
    <row r="48" spans="1:35" ht="13.5" customHeight="1" x14ac:dyDescent="0.3">
      <c r="A48" s="29" t="s">
        <v>20</v>
      </c>
      <c r="B48" s="31" t="s">
        <v>161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33"/>
      <c r="P48" s="1"/>
      <c r="Q48" s="1"/>
      <c r="R48" s="1"/>
      <c r="S48" s="1"/>
      <c r="T48" s="1">
        <v>338.91233751004802</v>
      </c>
      <c r="U48" s="1">
        <v>223.725186329124</v>
      </c>
      <c r="V48" s="1"/>
      <c r="W48" s="1"/>
      <c r="X48" s="1"/>
      <c r="Y48" s="1"/>
      <c r="Z48" s="1"/>
      <c r="AA48" s="1"/>
      <c r="AB48" s="33">
        <v>562.63752383917199</v>
      </c>
      <c r="AC48" s="1"/>
      <c r="AD48" s="1"/>
      <c r="AE48" s="1"/>
      <c r="AF48" s="1"/>
      <c r="AG48" s="33"/>
      <c r="AH48" s="1"/>
      <c r="AI48" s="33">
        <v>562.63752383917199</v>
      </c>
    </row>
    <row r="49" spans="1:35" ht="12.75" customHeight="1" x14ac:dyDescent="0.3">
      <c r="A49" s="29" t="s">
        <v>20</v>
      </c>
      <c r="B49" s="31" t="s">
        <v>162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33"/>
      <c r="P49" s="1"/>
      <c r="Q49" s="1"/>
      <c r="R49" s="1"/>
      <c r="S49" s="1"/>
      <c r="T49" s="1"/>
      <c r="U49" s="1">
        <v>118.195234270947</v>
      </c>
      <c r="V49" s="1">
        <v>384.652394509874</v>
      </c>
      <c r="W49" s="1"/>
      <c r="X49" s="1"/>
      <c r="Y49" s="1"/>
      <c r="Z49" s="1"/>
      <c r="AA49" s="1"/>
      <c r="AB49" s="33">
        <v>502.84762878082103</v>
      </c>
      <c r="AC49" s="1"/>
      <c r="AD49" s="1"/>
      <c r="AE49" s="1"/>
      <c r="AF49" s="1"/>
      <c r="AG49" s="33"/>
      <c r="AH49" s="1"/>
      <c r="AI49" s="33">
        <v>502.84762878082103</v>
      </c>
    </row>
    <row r="50" spans="1:35" ht="13.5" customHeight="1" x14ac:dyDescent="0.3">
      <c r="A50" s="29" t="s">
        <v>20</v>
      </c>
      <c r="B50" s="31" t="s">
        <v>163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33"/>
      <c r="P50" s="1"/>
      <c r="Q50" s="1"/>
      <c r="R50" s="1"/>
      <c r="S50" s="1"/>
      <c r="T50" s="1"/>
      <c r="U50" s="1"/>
      <c r="V50" s="1">
        <v>87.027005909128306</v>
      </c>
      <c r="W50" s="1">
        <v>385.81517266996798</v>
      </c>
      <c r="X50" s="1">
        <v>168.78987295229001</v>
      </c>
      <c r="Y50" s="1"/>
      <c r="Z50" s="1"/>
      <c r="AA50" s="1"/>
      <c r="AB50" s="33">
        <v>641.63205153138597</v>
      </c>
      <c r="AC50" s="1"/>
      <c r="AD50" s="1"/>
      <c r="AE50" s="1"/>
      <c r="AF50" s="1"/>
      <c r="AG50" s="33"/>
      <c r="AH50" s="1"/>
      <c r="AI50" s="33">
        <v>641.63205153138597</v>
      </c>
    </row>
    <row r="51" spans="1:35" ht="13.5" customHeight="1" x14ac:dyDescent="0.3">
      <c r="A51" s="29" t="s">
        <v>20</v>
      </c>
      <c r="B51" s="31" t="s">
        <v>164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3"/>
      <c r="P51" s="1"/>
      <c r="Q51" s="1"/>
      <c r="R51" s="1"/>
      <c r="S51" s="1"/>
      <c r="T51" s="1"/>
      <c r="U51" s="1"/>
      <c r="V51" s="1"/>
      <c r="W51" s="1"/>
      <c r="X51" s="1">
        <v>221.78626676512999</v>
      </c>
      <c r="Y51" s="1">
        <v>336.24412006232302</v>
      </c>
      <c r="Z51" s="1">
        <v>37.836680538421497</v>
      </c>
      <c r="AA51" s="1"/>
      <c r="AB51" s="33">
        <v>595.86706736587496</v>
      </c>
      <c r="AC51" s="1"/>
      <c r="AD51" s="1"/>
      <c r="AE51" s="1"/>
      <c r="AF51" s="1"/>
      <c r="AG51" s="33"/>
      <c r="AH51" s="1"/>
      <c r="AI51" s="33">
        <v>595.86706736587496</v>
      </c>
    </row>
    <row r="52" spans="1:35" ht="12.75" customHeight="1" x14ac:dyDescent="0.3">
      <c r="A52" s="29" t="s">
        <v>20</v>
      </c>
      <c r="B52" s="31" t="s">
        <v>165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3"/>
      <c r="P52" s="1"/>
      <c r="Q52" s="1"/>
      <c r="R52" s="1"/>
      <c r="S52" s="1"/>
      <c r="T52" s="1"/>
      <c r="U52" s="1"/>
      <c r="V52" s="1"/>
      <c r="W52" s="1"/>
      <c r="X52" s="1"/>
      <c r="Y52" s="1"/>
      <c r="Z52" s="1">
        <v>230.839455659116</v>
      </c>
      <c r="AA52" s="1">
        <v>486.27030966903197</v>
      </c>
      <c r="AB52" s="33">
        <v>717.109765328148</v>
      </c>
      <c r="AC52" s="1">
        <v>29.756900248789002</v>
      </c>
      <c r="AD52" s="1"/>
      <c r="AE52" s="1"/>
      <c r="AF52" s="1"/>
      <c r="AG52" s="33">
        <v>29.756900248789002</v>
      </c>
      <c r="AH52" s="1"/>
      <c r="AI52" s="33">
        <v>746.86666557693695</v>
      </c>
    </row>
    <row r="53" spans="1:35" ht="13.5" customHeight="1" x14ac:dyDescent="0.3">
      <c r="A53" s="29" t="s">
        <v>20</v>
      </c>
      <c r="B53" s="31" t="s">
        <v>166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33"/>
      <c r="AC53" s="1">
        <v>660.04990239045298</v>
      </c>
      <c r="AD53" s="1"/>
      <c r="AE53" s="1"/>
      <c r="AF53" s="1"/>
      <c r="AG53" s="33">
        <v>660.04990239045298</v>
      </c>
      <c r="AH53" s="1"/>
      <c r="AI53" s="33">
        <v>660.04990239045298</v>
      </c>
    </row>
    <row r="54" spans="1:35" ht="12.75" customHeight="1" x14ac:dyDescent="0.3">
      <c r="A54" s="29" t="s">
        <v>20</v>
      </c>
      <c r="B54" s="31" t="s">
        <v>167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33"/>
      <c r="AC54" s="1">
        <v>919.729710059328</v>
      </c>
      <c r="AD54" s="1"/>
      <c r="AE54" s="1"/>
      <c r="AF54" s="1"/>
      <c r="AG54" s="33">
        <v>919.729710059328</v>
      </c>
      <c r="AH54" s="1"/>
      <c r="AI54" s="33">
        <v>919.729710059328</v>
      </c>
    </row>
    <row r="55" spans="1:35" ht="13.5" customHeight="1" x14ac:dyDescent="0.3">
      <c r="A55" s="29" t="s">
        <v>20</v>
      </c>
      <c r="B55" s="31" t="s">
        <v>168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33"/>
      <c r="AC55" s="1">
        <v>213.381197413286</v>
      </c>
      <c r="AD55" s="1">
        <v>215.26866245670601</v>
      </c>
      <c r="AE55" s="1"/>
      <c r="AF55" s="1"/>
      <c r="AG55" s="33">
        <v>428.64985986999199</v>
      </c>
      <c r="AH55" s="1"/>
      <c r="AI55" s="33">
        <v>428.64985986999199</v>
      </c>
    </row>
    <row r="56" spans="1:35" ht="13.5" customHeight="1" x14ac:dyDescent="0.3">
      <c r="A56" s="29" t="s">
        <v>20</v>
      </c>
      <c r="B56" s="31" t="s">
        <v>169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33"/>
      <c r="AC56" s="1"/>
      <c r="AD56" s="1">
        <v>552.04302429663096</v>
      </c>
      <c r="AE56" s="1"/>
      <c r="AF56" s="1"/>
      <c r="AG56" s="33">
        <v>552.04302429663096</v>
      </c>
      <c r="AH56" s="1"/>
      <c r="AI56" s="33">
        <v>552.04302429663096</v>
      </c>
    </row>
    <row r="57" spans="1:35" ht="12.75" customHeight="1" x14ac:dyDescent="0.3">
      <c r="A57" s="29" t="s">
        <v>20</v>
      </c>
      <c r="B57" s="31" t="s">
        <v>170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33"/>
      <c r="AC57" s="1"/>
      <c r="AD57" s="1">
        <v>552.74507505821202</v>
      </c>
      <c r="AE57" s="1"/>
      <c r="AF57" s="1"/>
      <c r="AG57" s="33">
        <v>552.74507505821202</v>
      </c>
      <c r="AH57" s="1"/>
      <c r="AI57" s="33">
        <v>552.74507505821202</v>
      </c>
    </row>
    <row r="58" spans="1:35" ht="13.5" customHeight="1" x14ac:dyDescent="0.3">
      <c r="A58" s="29" t="s">
        <v>20</v>
      </c>
      <c r="B58" s="31" t="s">
        <v>171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33"/>
      <c r="AC58" s="1"/>
      <c r="AD58" s="1">
        <v>643.82806158672395</v>
      </c>
      <c r="AE58" s="1"/>
      <c r="AF58" s="1"/>
      <c r="AG58" s="33">
        <v>643.82806158672395</v>
      </c>
      <c r="AH58" s="1"/>
      <c r="AI58" s="33">
        <v>643.82806158672395</v>
      </c>
    </row>
    <row r="59" spans="1:35" ht="12.75" customHeight="1" x14ac:dyDescent="0.3">
      <c r="A59" s="29" t="s">
        <v>20</v>
      </c>
      <c r="B59" s="31" t="s">
        <v>172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33"/>
      <c r="AC59" s="1"/>
      <c r="AD59" s="1">
        <v>469.02241202384101</v>
      </c>
      <c r="AE59" s="1"/>
      <c r="AF59" s="1"/>
      <c r="AG59" s="33">
        <v>469.02241202384101</v>
      </c>
      <c r="AH59" s="1"/>
      <c r="AI59" s="33">
        <v>469.02241202384101</v>
      </c>
    </row>
    <row r="60" spans="1:35" ht="13.5" customHeight="1" x14ac:dyDescent="0.3">
      <c r="A60" s="29" t="s">
        <v>20</v>
      </c>
      <c r="B60" s="31" t="s">
        <v>173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33"/>
      <c r="AC60" s="1"/>
      <c r="AD60" s="1">
        <v>635.12639021850305</v>
      </c>
      <c r="AE60" s="1"/>
      <c r="AF60" s="1"/>
      <c r="AG60" s="33">
        <v>635.12639021850305</v>
      </c>
      <c r="AH60" s="1"/>
      <c r="AI60" s="33">
        <v>635.12639021850305</v>
      </c>
    </row>
    <row r="61" spans="1:35" ht="13.5" customHeight="1" x14ac:dyDescent="0.3">
      <c r="A61" s="29" t="s">
        <v>20</v>
      </c>
      <c r="B61" s="31" t="s">
        <v>174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33"/>
      <c r="AC61" s="1"/>
      <c r="AD61" s="1">
        <v>580.27501345958001</v>
      </c>
      <c r="AE61" s="1"/>
      <c r="AF61" s="1"/>
      <c r="AG61" s="33">
        <v>580.27501345958001</v>
      </c>
      <c r="AH61" s="1"/>
      <c r="AI61" s="33">
        <v>580.27501345958001</v>
      </c>
    </row>
    <row r="62" spans="1:35" ht="12.75" customHeight="1" x14ac:dyDescent="0.3">
      <c r="A62" s="29" t="s">
        <v>20</v>
      </c>
      <c r="B62" s="31" t="s">
        <v>175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33"/>
      <c r="AC62" s="1"/>
      <c r="AD62" s="1">
        <v>98.087087816369703</v>
      </c>
      <c r="AE62" s="1">
        <v>551.03943981373595</v>
      </c>
      <c r="AF62" s="1"/>
      <c r="AG62" s="33">
        <v>649.12652763010601</v>
      </c>
      <c r="AH62" s="1"/>
      <c r="AI62" s="33">
        <v>649.12652763010601</v>
      </c>
    </row>
    <row r="63" spans="1:35" ht="13.5" customHeight="1" x14ac:dyDescent="0.3">
      <c r="A63" s="29" t="s">
        <v>20</v>
      </c>
      <c r="B63" s="31" t="s">
        <v>176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33"/>
      <c r="AC63" s="1"/>
      <c r="AD63" s="1"/>
      <c r="AE63" s="1">
        <v>1548.7289840358001</v>
      </c>
      <c r="AF63" s="1"/>
      <c r="AG63" s="33">
        <v>1548.7289840358001</v>
      </c>
      <c r="AH63" s="1"/>
      <c r="AI63" s="33">
        <v>1548.7289840358001</v>
      </c>
    </row>
    <row r="64" spans="1:35" ht="12.75" customHeight="1" x14ac:dyDescent="0.3">
      <c r="A64" s="29" t="s">
        <v>20</v>
      </c>
      <c r="B64" s="31" t="s">
        <v>177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33"/>
      <c r="AC64" s="1"/>
      <c r="AD64" s="1"/>
      <c r="AE64" s="1">
        <v>1772.9064424855001</v>
      </c>
      <c r="AF64" s="1">
        <v>75.6615219561901</v>
      </c>
      <c r="AG64" s="33">
        <v>1848.56796444169</v>
      </c>
      <c r="AH64" s="1"/>
      <c r="AI64" s="33">
        <v>1848.56796444169</v>
      </c>
    </row>
    <row r="65" spans="1:35" ht="13.5" customHeight="1" x14ac:dyDescent="0.3">
      <c r="A65" s="29" t="s">
        <v>20</v>
      </c>
      <c r="B65" s="31" t="s">
        <v>119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33"/>
      <c r="AC65" s="1"/>
      <c r="AD65" s="1"/>
      <c r="AE65" s="1"/>
      <c r="AF65" s="1">
        <v>2001.7577377048001</v>
      </c>
      <c r="AG65" s="33">
        <v>2001.7577377048001</v>
      </c>
      <c r="AH65" s="1"/>
      <c r="AI65" s="33">
        <v>2001.7577377048001</v>
      </c>
    </row>
    <row r="66" spans="1:35" ht="13.5" customHeight="1" x14ac:dyDescent="0.3">
      <c r="A66" s="29" t="s">
        <v>20</v>
      </c>
      <c r="B66" s="31" t="s">
        <v>120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3"/>
      <c r="AC66" s="1"/>
      <c r="AD66" s="1"/>
      <c r="AE66" s="1"/>
      <c r="AF66" s="1">
        <v>1976.8780403390101</v>
      </c>
      <c r="AG66" s="33">
        <v>1976.8780403390101</v>
      </c>
      <c r="AH66" s="1">
        <v>160.660291009085</v>
      </c>
      <c r="AI66" s="33">
        <v>2137.5383313480902</v>
      </c>
    </row>
    <row r="67" spans="1:35" ht="12.75" customHeight="1" x14ac:dyDescent="0.3">
      <c r="A67" s="29" t="s">
        <v>20</v>
      </c>
      <c r="B67" s="31" t="s">
        <v>121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33"/>
      <c r="AC67" s="1"/>
      <c r="AD67" s="1"/>
      <c r="AE67" s="1"/>
      <c r="AF67" s="1"/>
      <c r="AG67" s="33"/>
      <c r="AH67" s="1">
        <v>1778.63854920739</v>
      </c>
      <c r="AI67" s="33">
        <v>1778.63854920739</v>
      </c>
    </row>
    <row r="68" spans="1:35" ht="13.5" customHeight="1" x14ac:dyDescent="0.3">
      <c r="A68" s="29" t="s">
        <v>20</v>
      </c>
      <c r="B68" s="31" t="s">
        <v>122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33"/>
      <c r="AC68" s="1"/>
      <c r="AD68" s="1"/>
      <c r="AE68" s="1"/>
      <c r="AF68" s="1"/>
      <c r="AG68" s="33"/>
      <c r="AH68" s="1">
        <v>1888.2910873636599</v>
      </c>
      <c r="AI68" s="33">
        <v>1888.2910873636599</v>
      </c>
    </row>
    <row r="69" spans="1:35" ht="12.75" customHeight="1" x14ac:dyDescent="0.3">
      <c r="A69" s="29" t="s">
        <v>20</v>
      </c>
      <c r="B69" s="31" t="s">
        <v>123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3"/>
      <c r="AC69" s="1"/>
      <c r="AD69" s="1"/>
      <c r="AE69" s="1"/>
      <c r="AF69" s="1"/>
      <c r="AG69" s="33"/>
      <c r="AH69" s="1">
        <v>631.73817241987001</v>
      </c>
      <c r="AI69" s="33">
        <v>631.73817241987001</v>
      </c>
    </row>
    <row r="70" spans="1:35" ht="13.5" customHeight="1" x14ac:dyDescent="0.3">
      <c r="A70" s="51" t="s">
        <v>21</v>
      </c>
      <c r="B70" s="51" t="s">
        <v>21</v>
      </c>
      <c r="C70" s="33"/>
      <c r="D70" s="33">
        <v>82</v>
      </c>
      <c r="E70" s="33">
        <v>100.00002499999999</v>
      </c>
      <c r="F70" s="33">
        <v>96.000474999999994</v>
      </c>
      <c r="G70" s="33">
        <v>96.000475000000094</v>
      </c>
      <c r="H70" s="33">
        <v>88.000349999999997</v>
      </c>
      <c r="I70" s="33">
        <v>85.000174999999999</v>
      </c>
      <c r="J70" s="33">
        <v>88.999724999999899</v>
      </c>
      <c r="K70" s="33">
        <v>90.999499999999998</v>
      </c>
      <c r="L70" s="33">
        <v>100.00002499999999</v>
      </c>
      <c r="M70" s="33">
        <v>100.00002499999999</v>
      </c>
      <c r="N70" s="33">
        <v>106.99975000000001</v>
      </c>
      <c r="O70" s="33">
        <v>1034.0005249999999</v>
      </c>
      <c r="P70" s="33">
        <v>517.31200944216596</v>
      </c>
      <c r="Q70" s="33">
        <v>469.251283494034</v>
      </c>
      <c r="R70" s="33">
        <v>590.08574177937703</v>
      </c>
      <c r="S70" s="33">
        <v>471.19569609125199</v>
      </c>
      <c r="T70" s="33">
        <v>356.79372309677899</v>
      </c>
      <c r="U70" s="33">
        <v>341.920420600071</v>
      </c>
      <c r="V70" s="33">
        <v>471.67940041900198</v>
      </c>
      <c r="W70" s="33">
        <v>385.81517266996798</v>
      </c>
      <c r="X70" s="33">
        <v>390.57613971742001</v>
      </c>
      <c r="Y70" s="33">
        <v>336.24412006232302</v>
      </c>
      <c r="Z70" s="33">
        <v>268.67613619753701</v>
      </c>
      <c r="AA70" s="33">
        <v>486.27030966903197</v>
      </c>
      <c r="AB70" s="33">
        <v>5085.8201532389603</v>
      </c>
      <c r="AC70" s="33">
        <v>1822.9177101118601</v>
      </c>
      <c r="AD70" s="33">
        <v>3746.3957269165699</v>
      </c>
      <c r="AE70" s="33">
        <v>3872.67486633504</v>
      </c>
      <c r="AF70" s="33">
        <v>4054.2973000000002</v>
      </c>
      <c r="AG70" s="33">
        <v>13496.2856033635</v>
      </c>
      <c r="AH70" s="33">
        <v>4459.3280999999997</v>
      </c>
      <c r="AI70" s="33">
        <v>24075.434381602401</v>
      </c>
    </row>
    <row r="71" spans="1:35" ht="13.5" customHeight="1" x14ac:dyDescent="0.3">
      <c r="A71" s="29" t="s">
        <v>22</v>
      </c>
      <c r="B71" s="31" t="s">
        <v>168</v>
      </c>
      <c r="C71" s="1"/>
      <c r="D71" s="1">
        <v>27.286811724568398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33">
        <v>27.286811724568398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33"/>
      <c r="AC71" s="1"/>
      <c r="AD71" s="1"/>
      <c r="AE71" s="1"/>
      <c r="AF71" s="1"/>
      <c r="AG71" s="33"/>
      <c r="AH71" s="1"/>
      <c r="AI71" s="33">
        <v>27.286811724568398</v>
      </c>
    </row>
    <row r="72" spans="1:35" ht="12.75" customHeight="1" x14ac:dyDescent="0.3">
      <c r="A72" s="29" t="s">
        <v>22</v>
      </c>
      <c r="B72" s="31" t="s">
        <v>169</v>
      </c>
      <c r="C72" s="1"/>
      <c r="D72" s="1">
        <v>222.712738275432</v>
      </c>
      <c r="E72" s="1">
        <v>138.212367506796</v>
      </c>
      <c r="F72" s="1"/>
      <c r="G72" s="1"/>
      <c r="H72" s="1"/>
      <c r="I72" s="1"/>
      <c r="J72" s="1"/>
      <c r="K72" s="1"/>
      <c r="L72" s="1"/>
      <c r="M72" s="1"/>
      <c r="N72" s="1"/>
      <c r="O72" s="33">
        <v>360.92510578222698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33"/>
      <c r="AC72" s="1"/>
      <c r="AD72" s="1"/>
      <c r="AE72" s="1"/>
      <c r="AF72" s="1"/>
      <c r="AG72" s="33"/>
      <c r="AH72" s="1"/>
      <c r="AI72" s="33">
        <v>360.92510578222698</v>
      </c>
    </row>
    <row r="73" spans="1:35" ht="13.5" customHeight="1" x14ac:dyDescent="0.3">
      <c r="A73" s="29" t="s">
        <v>22</v>
      </c>
      <c r="B73" s="31" t="s">
        <v>170</v>
      </c>
      <c r="C73" s="1"/>
      <c r="D73" s="1"/>
      <c r="E73" s="1">
        <v>131.78800749320399</v>
      </c>
      <c r="F73" s="1">
        <v>232.99992499999999</v>
      </c>
      <c r="G73" s="1">
        <v>62.303568394836802</v>
      </c>
      <c r="H73" s="1"/>
      <c r="I73" s="1"/>
      <c r="J73" s="1"/>
      <c r="K73" s="1"/>
      <c r="L73" s="1"/>
      <c r="M73" s="1"/>
      <c r="N73" s="1"/>
      <c r="O73" s="33">
        <v>427.09150088804103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33"/>
      <c r="AC73" s="1"/>
      <c r="AD73" s="1"/>
      <c r="AE73" s="1"/>
      <c r="AF73" s="1"/>
      <c r="AG73" s="33"/>
      <c r="AH73" s="1"/>
      <c r="AI73" s="33">
        <v>427.09150088804103</v>
      </c>
    </row>
    <row r="74" spans="1:35" ht="12.75" customHeight="1" x14ac:dyDescent="0.3">
      <c r="A74" s="29" t="s">
        <v>22</v>
      </c>
      <c r="B74" s="31" t="s">
        <v>171</v>
      </c>
      <c r="C74" s="1"/>
      <c r="D74" s="1"/>
      <c r="E74" s="1"/>
      <c r="F74" s="1"/>
      <c r="G74" s="1">
        <v>198.69628160516299</v>
      </c>
      <c r="H74" s="1">
        <v>207.14322060277601</v>
      </c>
      <c r="I74" s="1"/>
      <c r="J74" s="1"/>
      <c r="K74" s="1"/>
      <c r="L74" s="1"/>
      <c r="M74" s="1"/>
      <c r="N74" s="1"/>
      <c r="O74" s="33">
        <v>405.83950220793997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3"/>
      <c r="AC74" s="1"/>
      <c r="AD74" s="1"/>
      <c r="AE74" s="1"/>
      <c r="AF74" s="1"/>
      <c r="AG74" s="33"/>
      <c r="AH74" s="1"/>
      <c r="AI74" s="33">
        <v>405.83950220793997</v>
      </c>
    </row>
    <row r="75" spans="1:35" ht="13.5" customHeight="1" x14ac:dyDescent="0.3">
      <c r="A75" s="29" t="s">
        <v>22</v>
      </c>
      <c r="B75" s="31" t="s">
        <v>172</v>
      </c>
      <c r="C75" s="1"/>
      <c r="D75" s="1"/>
      <c r="E75" s="1"/>
      <c r="F75" s="1"/>
      <c r="G75" s="1"/>
      <c r="H75" s="1">
        <v>33.8568293972235</v>
      </c>
      <c r="I75" s="1">
        <v>247.999775</v>
      </c>
      <c r="J75" s="1">
        <v>116.79139236709401</v>
      </c>
      <c r="K75" s="1"/>
      <c r="L75" s="1"/>
      <c r="M75" s="1"/>
      <c r="N75" s="1"/>
      <c r="O75" s="33">
        <v>398.64799676431801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3"/>
      <c r="AC75" s="1"/>
      <c r="AD75" s="1"/>
      <c r="AE75" s="1"/>
      <c r="AF75" s="1"/>
      <c r="AG75" s="33"/>
      <c r="AH75" s="1"/>
      <c r="AI75" s="33">
        <v>398.64799676431801</v>
      </c>
    </row>
    <row r="76" spans="1:35" ht="13.5" customHeight="1" x14ac:dyDescent="0.3">
      <c r="A76" s="29" t="s">
        <v>22</v>
      </c>
      <c r="B76" s="31" t="s">
        <v>173</v>
      </c>
      <c r="C76" s="1"/>
      <c r="D76" s="1"/>
      <c r="E76" s="1"/>
      <c r="F76" s="1"/>
      <c r="G76" s="1"/>
      <c r="H76" s="1"/>
      <c r="I76" s="1"/>
      <c r="J76" s="1">
        <v>123.208257632906</v>
      </c>
      <c r="K76" s="1">
        <v>216.60126696072101</v>
      </c>
      <c r="L76" s="1"/>
      <c r="M76" s="1"/>
      <c r="N76" s="1"/>
      <c r="O76" s="33">
        <v>339.80952459362697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3"/>
      <c r="AC76" s="1"/>
      <c r="AD76" s="1"/>
      <c r="AE76" s="1"/>
      <c r="AF76" s="1"/>
      <c r="AG76" s="33"/>
      <c r="AH76" s="1"/>
      <c r="AI76" s="33">
        <v>339.80952459362697</v>
      </c>
    </row>
    <row r="77" spans="1:35" ht="12.75" customHeight="1" x14ac:dyDescent="0.3">
      <c r="A77" s="29" t="s">
        <v>22</v>
      </c>
      <c r="B77" s="31" t="s">
        <v>174</v>
      </c>
      <c r="C77" s="1"/>
      <c r="D77" s="1"/>
      <c r="E77" s="1"/>
      <c r="F77" s="1"/>
      <c r="G77" s="1"/>
      <c r="H77" s="1"/>
      <c r="I77" s="1"/>
      <c r="J77" s="1"/>
      <c r="K77" s="1">
        <v>43.399208039279003</v>
      </c>
      <c r="L77" s="1">
        <v>249.99955</v>
      </c>
      <c r="M77" s="1">
        <v>111.353936258319</v>
      </c>
      <c r="N77" s="1"/>
      <c r="O77" s="33">
        <v>404.752694297598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33"/>
      <c r="AC77" s="1"/>
      <c r="AD77" s="1"/>
      <c r="AE77" s="1"/>
      <c r="AF77" s="1"/>
      <c r="AG77" s="33"/>
      <c r="AH77" s="1"/>
      <c r="AI77" s="33">
        <v>404.752694297598</v>
      </c>
    </row>
    <row r="78" spans="1:35" ht="13.5" customHeight="1" x14ac:dyDescent="0.3">
      <c r="A78" s="29" t="s">
        <v>22</v>
      </c>
      <c r="B78" s="31" t="s">
        <v>175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>
        <v>138.64561374167999</v>
      </c>
      <c r="N78" s="1">
        <v>234.99969999999999</v>
      </c>
      <c r="O78" s="33">
        <v>373.64531374168001</v>
      </c>
      <c r="P78" s="1">
        <v>109.92715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33">
        <v>109.92715</v>
      </c>
      <c r="AC78" s="1"/>
      <c r="AD78" s="1"/>
      <c r="AE78" s="1"/>
      <c r="AF78" s="1"/>
      <c r="AG78" s="33"/>
      <c r="AH78" s="1"/>
      <c r="AI78" s="33">
        <v>483.57246374168</v>
      </c>
    </row>
    <row r="79" spans="1:35" ht="12.75" customHeight="1" x14ac:dyDescent="0.3">
      <c r="A79" s="51" t="s">
        <v>23</v>
      </c>
      <c r="B79" s="51" t="s">
        <v>23</v>
      </c>
      <c r="C79" s="33"/>
      <c r="D79" s="33">
        <v>249.99955</v>
      </c>
      <c r="E79" s="33">
        <v>270.00037500000002</v>
      </c>
      <c r="F79" s="33">
        <v>232.99992499999999</v>
      </c>
      <c r="G79" s="33">
        <v>260.99984999999998</v>
      </c>
      <c r="H79" s="33">
        <v>241.00004999999999</v>
      </c>
      <c r="I79" s="33">
        <v>247.999775</v>
      </c>
      <c r="J79" s="33">
        <v>239.99965</v>
      </c>
      <c r="K79" s="33">
        <v>260.00047499999999</v>
      </c>
      <c r="L79" s="33">
        <v>249.99955</v>
      </c>
      <c r="M79" s="33">
        <v>249.99955</v>
      </c>
      <c r="N79" s="33">
        <v>234.99969999999999</v>
      </c>
      <c r="O79" s="33">
        <v>2737.99845</v>
      </c>
      <c r="P79" s="33">
        <v>109.92715</v>
      </c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>
        <v>109.92715</v>
      </c>
      <c r="AC79" s="33"/>
      <c r="AD79" s="33"/>
      <c r="AE79" s="33"/>
      <c r="AF79" s="33"/>
      <c r="AG79" s="33"/>
      <c r="AH79" s="33"/>
      <c r="AI79" s="33">
        <v>2847.9256</v>
      </c>
    </row>
    <row r="80" spans="1:35" ht="13.5" customHeight="1" x14ac:dyDescent="0.3">
      <c r="A80" s="56" t="s">
        <v>24</v>
      </c>
      <c r="B80" s="56" t="s">
        <v>24</v>
      </c>
      <c r="C80" s="33">
        <v>1332.2559208467101</v>
      </c>
      <c r="D80" s="33">
        <v>1466.9994750000001</v>
      </c>
      <c r="E80" s="33">
        <v>1644.000575</v>
      </c>
      <c r="F80" s="33">
        <v>1654.0004750000001</v>
      </c>
      <c r="G80" s="33">
        <v>1517</v>
      </c>
      <c r="H80" s="33">
        <v>1498.9999749999999</v>
      </c>
      <c r="I80" s="33">
        <v>1599</v>
      </c>
      <c r="J80" s="33">
        <v>1664.9997499999999</v>
      </c>
      <c r="K80" s="33">
        <v>1769.00035</v>
      </c>
      <c r="L80" s="33">
        <v>1713.0278981926199</v>
      </c>
      <c r="M80" s="33">
        <v>1826.9999749999999</v>
      </c>
      <c r="N80" s="33">
        <v>1982.9998499999999</v>
      </c>
      <c r="O80" s="33">
        <v>19669.2842440393</v>
      </c>
      <c r="P80" s="33">
        <v>2444.1777344421698</v>
      </c>
      <c r="Q80" s="33">
        <v>2218.6623635964902</v>
      </c>
      <c r="R80" s="33">
        <v>2294.8862417793798</v>
      </c>
      <c r="S80" s="33">
        <v>2263.1833659897002</v>
      </c>
      <c r="T80" s="33">
        <v>2040.49141581392</v>
      </c>
      <c r="U80" s="33">
        <v>1981.61987825807</v>
      </c>
      <c r="V80" s="33">
        <v>2111.5482004189998</v>
      </c>
      <c r="W80" s="33">
        <v>1769.2874459224499</v>
      </c>
      <c r="X80" s="33">
        <v>1869.2739395574099</v>
      </c>
      <c r="Y80" s="33">
        <v>2029.02773648226</v>
      </c>
      <c r="Z80" s="33">
        <v>1989.08336677032</v>
      </c>
      <c r="AA80" s="33">
        <v>2286.71355966903</v>
      </c>
      <c r="AB80" s="33">
        <v>25297.9552487002</v>
      </c>
      <c r="AC80" s="33">
        <v>6138.4260101118498</v>
      </c>
      <c r="AD80" s="33">
        <v>5940.7953413940204</v>
      </c>
      <c r="AE80" s="33">
        <v>5888.3872069405697</v>
      </c>
      <c r="AF80" s="33">
        <v>4256.2162268666698</v>
      </c>
      <c r="AG80" s="33">
        <v>22223.8247853131</v>
      </c>
      <c r="AH80" s="33">
        <v>4459.3280999999997</v>
      </c>
      <c r="AI80" s="33">
        <v>71650.392378052595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D080-527E-4E47-AF8B-9115A3511798}">
  <sheetPr>
    <pageSetUpPr fitToPage="1"/>
  </sheetPr>
  <dimension ref="A1:CD101"/>
  <sheetViews>
    <sheetView zoomScale="70" zoomScaleNormal="70" workbookViewId="0">
      <pane xSplit="2" ySplit="5" topLeftCell="C27" activePane="bottomRight" state="frozen"/>
      <selection activeCell="R37" sqref="R37"/>
      <selection pane="topRight" activeCell="R37" sqref="R37"/>
      <selection pane="bottomLeft" activeCell="R37" sqref="R37"/>
      <selection pane="bottomRight" activeCell="AJ22" sqref="AJ22"/>
    </sheetView>
  </sheetViews>
  <sheetFormatPr defaultRowHeight="14.4" x14ac:dyDescent="0.3"/>
  <cols>
    <col min="1" max="1" width="39" bestFit="1" customWidth="1"/>
    <col min="2" max="2" width="17.33203125" bestFit="1" customWidth="1"/>
    <col min="3" max="14" width="13.33203125" bestFit="1" customWidth="1"/>
    <col min="15" max="15" width="11.77734375" bestFit="1" customWidth="1"/>
    <col min="16" max="27" width="13.33203125" bestFit="1" customWidth="1"/>
    <col min="28" max="28" width="11.109375" bestFit="1" customWidth="1"/>
    <col min="29" max="29" width="16.6640625" bestFit="1" customWidth="1"/>
    <col min="30" max="30" width="17.44140625" bestFit="1" customWidth="1"/>
    <col min="31" max="31" width="16.88671875" bestFit="1" customWidth="1"/>
    <col min="32" max="32" width="16.77734375" bestFit="1" customWidth="1"/>
    <col min="33" max="33" width="11.109375" bestFit="1" customWidth="1"/>
    <col min="34" max="34" width="16.6640625" bestFit="1" customWidth="1"/>
  </cols>
  <sheetData>
    <row r="1" spans="1:34" x14ac:dyDescent="0.3">
      <c r="B1" s="29" t="s">
        <v>201</v>
      </c>
      <c r="C1" s="57" t="s">
        <v>0</v>
      </c>
      <c r="D1" s="57" t="s">
        <v>0</v>
      </c>
      <c r="E1" s="57" t="s">
        <v>0</v>
      </c>
      <c r="F1" s="57" t="s">
        <v>0</v>
      </c>
      <c r="G1" s="57" t="s">
        <v>0</v>
      </c>
      <c r="H1" s="57" t="s">
        <v>0</v>
      </c>
      <c r="I1" s="57" t="s">
        <v>0</v>
      </c>
      <c r="J1" s="57" t="s">
        <v>0</v>
      </c>
      <c r="K1" s="57" t="s">
        <v>0</v>
      </c>
      <c r="L1" s="57" t="s">
        <v>0</v>
      </c>
      <c r="M1" s="57" t="s">
        <v>0</v>
      </c>
      <c r="N1" s="57" t="s">
        <v>0</v>
      </c>
      <c r="O1" s="10" t="s">
        <v>1</v>
      </c>
      <c r="P1" s="57" t="s">
        <v>2</v>
      </c>
      <c r="Q1" s="57" t="s">
        <v>2</v>
      </c>
      <c r="R1" s="57" t="s">
        <v>2</v>
      </c>
      <c r="S1" s="57" t="s">
        <v>2</v>
      </c>
      <c r="T1" s="57" t="s">
        <v>2</v>
      </c>
      <c r="U1" s="57" t="s">
        <v>2</v>
      </c>
      <c r="V1" s="57" t="s">
        <v>2</v>
      </c>
      <c r="W1" s="57" t="s">
        <v>2</v>
      </c>
      <c r="X1" s="57" t="s">
        <v>2</v>
      </c>
      <c r="Y1" s="57" t="s">
        <v>2</v>
      </c>
      <c r="Z1" s="57" t="s">
        <v>2</v>
      </c>
      <c r="AA1" s="57" t="s">
        <v>2</v>
      </c>
      <c r="AB1" s="57" t="s">
        <v>3</v>
      </c>
      <c r="AC1" s="57" t="s">
        <v>4</v>
      </c>
      <c r="AD1" s="57" t="s">
        <v>4</v>
      </c>
      <c r="AE1" s="57" t="s">
        <v>4</v>
      </c>
      <c r="AF1" s="57" t="s">
        <v>4</v>
      </c>
      <c r="AG1" s="57" t="s">
        <v>5</v>
      </c>
      <c r="AH1" s="46" t="s">
        <v>6</v>
      </c>
    </row>
    <row r="2" spans="1:34" x14ac:dyDescent="0.3">
      <c r="B2" s="29" t="s">
        <v>211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 t="s">
        <v>48</v>
      </c>
      <c r="M2" s="9" t="s">
        <v>49</v>
      </c>
      <c r="N2" s="9" t="s">
        <v>50</v>
      </c>
      <c r="O2" s="10" t="s">
        <v>1</v>
      </c>
      <c r="P2" s="9" t="s">
        <v>39</v>
      </c>
      <c r="Q2" s="9" t="s">
        <v>40</v>
      </c>
      <c r="R2" s="9" t="s">
        <v>41</v>
      </c>
      <c r="S2" s="9" t="s">
        <v>42</v>
      </c>
      <c r="T2" s="9" t="s">
        <v>43</v>
      </c>
      <c r="U2" s="9" t="s">
        <v>44</v>
      </c>
      <c r="V2" s="9" t="s">
        <v>45</v>
      </c>
      <c r="W2" s="9" t="s">
        <v>46</v>
      </c>
      <c r="X2" s="9" t="s">
        <v>47</v>
      </c>
      <c r="Y2" s="9" t="s">
        <v>48</v>
      </c>
      <c r="Z2" s="9" t="s">
        <v>49</v>
      </c>
      <c r="AA2" s="9" t="s">
        <v>50</v>
      </c>
      <c r="AB2" s="10" t="s">
        <v>3</v>
      </c>
      <c r="AC2" s="9" t="s">
        <v>185</v>
      </c>
      <c r="AD2" s="9" t="s">
        <v>187</v>
      </c>
      <c r="AE2" s="9" t="s">
        <v>188</v>
      </c>
      <c r="AF2" s="9" t="s">
        <v>189</v>
      </c>
      <c r="AG2" s="10" t="s">
        <v>5</v>
      </c>
      <c r="AH2" s="9" t="s">
        <v>186</v>
      </c>
    </row>
    <row r="3" spans="1:34" x14ac:dyDescent="0.3">
      <c r="B3" s="21" t="s">
        <v>51</v>
      </c>
      <c r="C3" s="22">
        <v>31</v>
      </c>
      <c r="D3" s="22">
        <v>28</v>
      </c>
      <c r="E3" s="22">
        <v>31</v>
      </c>
      <c r="F3" s="22">
        <v>30</v>
      </c>
      <c r="G3" s="22">
        <v>31</v>
      </c>
      <c r="H3" s="22">
        <v>30</v>
      </c>
      <c r="I3" s="22">
        <v>31</v>
      </c>
      <c r="J3" s="22">
        <v>31</v>
      </c>
      <c r="K3" s="22">
        <v>30</v>
      </c>
      <c r="L3" s="22">
        <v>31</v>
      </c>
      <c r="M3" s="22">
        <v>30</v>
      </c>
      <c r="N3" s="22">
        <v>31</v>
      </c>
      <c r="O3" s="23">
        <f>+SUM(C3:N3)</f>
        <v>365</v>
      </c>
      <c r="P3" s="22">
        <v>31</v>
      </c>
      <c r="Q3" s="22">
        <v>28</v>
      </c>
      <c r="R3" s="22">
        <v>31</v>
      </c>
      <c r="S3" s="22">
        <v>30</v>
      </c>
      <c r="T3" s="22">
        <v>31</v>
      </c>
      <c r="U3" s="22">
        <v>30</v>
      </c>
      <c r="V3" s="22">
        <v>31</v>
      </c>
      <c r="W3" s="22">
        <v>31</v>
      </c>
      <c r="X3" s="22">
        <v>30</v>
      </c>
      <c r="Y3" s="22">
        <v>31</v>
      </c>
      <c r="Z3" s="22">
        <v>30</v>
      </c>
      <c r="AA3" s="22">
        <v>31</v>
      </c>
      <c r="AB3" s="23">
        <f>+SUM(P3:AA3)</f>
        <v>365</v>
      </c>
      <c r="AC3" s="22">
        <v>91</v>
      </c>
      <c r="AD3" s="22">
        <v>91</v>
      </c>
      <c r="AE3" s="22">
        <v>92</v>
      </c>
      <c r="AF3" s="22">
        <v>92</v>
      </c>
      <c r="AG3" s="23">
        <f>+SUM(AC3:AF3)</f>
        <v>366</v>
      </c>
      <c r="AH3" s="22">
        <v>90</v>
      </c>
    </row>
    <row r="4" spans="1:34" x14ac:dyDescent="0.3">
      <c r="B4" s="21" t="s">
        <v>52</v>
      </c>
      <c r="C4" s="22">
        <v>0.8</v>
      </c>
      <c r="D4" s="22">
        <v>1.2</v>
      </c>
      <c r="E4" s="22">
        <v>1.1000000000000001</v>
      </c>
      <c r="F4" s="22">
        <v>3</v>
      </c>
      <c r="G4" s="22">
        <v>4</v>
      </c>
      <c r="H4" s="22">
        <v>3.4</v>
      </c>
      <c r="I4" s="22">
        <v>3.4</v>
      </c>
      <c r="J4" s="22">
        <v>4</v>
      </c>
      <c r="K4" s="22">
        <v>4.5</v>
      </c>
      <c r="L4" s="22">
        <v>4.5</v>
      </c>
      <c r="M4" s="22">
        <v>2.7</v>
      </c>
      <c r="N4" s="22">
        <v>1.4</v>
      </c>
      <c r="O4" s="23">
        <f t="shared" ref="O4" si="0">+SUM(C4:N4)</f>
        <v>34</v>
      </c>
      <c r="P4" s="22">
        <v>0.8</v>
      </c>
      <c r="Q4" s="22">
        <v>1.2</v>
      </c>
      <c r="R4" s="22">
        <v>1.1000000000000001</v>
      </c>
      <c r="S4" s="22">
        <v>3</v>
      </c>
      <c r="T4" s="22">
        <v>4</v>
      </c>
      <c r="U4" s="22">
        <v>3.4</v>
      </c>
      <c r="V4" s="22">
        <v>3.4</v>
      </c>
      <c r="W4" s="22">
        <v>4</v>
      </c>
      <c r="X4" s="22">
        <v>4.5</v>
      </c>
      <c r="Y4" s="22">
        <v>4.5</v>
      </c>
      <c r="Z4" s="22">
        <v>2.7</v>
      </c>
      <c r="AA4" s="22">
        <v>1.4</v>
      </c>
      <c r="AB4" s="23">
        <f t="shared" ref="AB4:AB5" si="1">+SUM(P4:AA4)</f>
        <v>34</v>
      </c>
      <c r="AC4" s="22">
        <v>3.1</v>
      </c>
      <c r="AD4" s="22">
        <v>10.400000000000006</v>
      </c>
      <c r="AE4" s="22">
        <v>11.900000000000006</v>
      </c>
      <c r="AF4" s="22">
        <v>8.5999999999999943</v>
      </c>
      <c r="AG4" s="23">
        <f t="shared" ref="AG4:AG5" si="2">+SUM(AC4:AF4)</f>
        <v>34.000000000000007</v>
      </c>
      <c r="AH4" s="22">
        <v>3.1</v>
      </c>
    </row>
    <row r="5" spans="1:34" x14ac:dyDescent="0.3">
      <c r="B5" s="21" t="s">
        <v>53</v>
      </c>
      <c r="C5" s="22">
        <f>+C3-C4</f>
        <v>30.2</v>
      </c>
      <c r="D5" s="22">
        <f t="shared" ref="D5:N5" si="3">+D3-D4</f>
        <v>26.8</v>
      </c>
      <c r="E5" s="22">
        <f t="shared" si="3"/>
        <v>29.9</v>
      </c>
      <c r="F5" s="22">
        <f t="shared" si="3"/>
        <v>27</v>
      </c>
      <c r="G5" s="22">
        <f t="shared" si="3"/>
        <v>27</v>
      </c>
      <c r="H5" s="22">
        <f t="shared" si="3"/>
        <v>26.6</v>
      </c>
      <c r="I5" s="22">
        <f t="shared" si="3"/>
        <v>27.6</v>
      </c>
      <c r="J5" s="22">
        <f t="shared" si="3"/>
        <v>27</v>
      </c>
      <c r="K5" s="22">
        <f t="shared" si="3"/>
        <v>25.5</v>
      </c>
      <c r="L5" s="22">
        <f t="shared" si="3"/>
        <v>26.5</v>
      </c>
      <c r="M5" s="22">
        <f t="shared" si="3"/>
        <v>27.3</v>
      </c>
      <c r="N5" s="22">
        <f t="shared" si="3"/>
        <v>29.6</v>
      </c>
      <c r="O5" s="23">
        <f>+SUM(C5:N5)</f>
        <v>331.00000000000006</v>
      </c>
      <c r="P5" s="22">
        <f>+P3-P4</f>
        <v>30.2</v>
      </c>
      <c r="Q5" s="22">
        <f t="shared" ref="Q5:AH5" si="4">+Q3-Q4</f>
        <v>26.8</v>
      </c>
      <c r="R5" s="22">
        <f t="shared" si="4"/>
        <v>29.9</v>
      </c>
      <c r="S5" s="22">
        <f t="shared" si="4"/>
        <v>27</v>
      </c>
      <c r="T5" s="22">
        <f t="shared" si="4"/>
        <v>27</v>
      </c>
      <c r="U5" s="22">
        <f t="shared" si="4"/>
        <v>26.6</v>
      </c>
      <c r="V5" s="22">
        <f t="shared" si="4"/>
        <v>27.6</v>
      </c>
      <c r="W5" s="22">
        <f t="shared" si="4"/>
        <v>27</v>
      </c>
      <c r="X5" s="22">
        <f t="shared" si="4"/>
        <v>25.5</v>
      </c>
      <c r="Y5" s="22">
        <f t="shared" si="4"/>
        <v>26.5</v>
      </c>
      <c r="Z5" s="22">
        <f t="shared" si="4"/>
        <v>27.3</v>
      </c>
      <c r="AA5" s="22">
        <f t="shared" si="4"/>
        <v>29.6</v>
      </c>
      <c r="AB5" s="23">
        <f t="shared" si="1"/>
        <v>331.00000000000006</v>
      </c>
      <c r="AC5" s="22">
        <f t="shared" si="4"/>
        <v>87.9</v>
      </c>
      <c r="AD5" s="22">
        <f t="shared" si="4"/>
        <v>80.599999999999994</v>
      </c>
      <c r="AE5" s="22">
        <f t="shared" si="4"/>
        <v>80.099999999999994</v>
      </c>
      <c r="AF5" s="22">
        <f t="shared" si="4"/>
        <v>83.4</v>
      </c>
      <c r="AG5" s="23">
        <f t="shared" si="2"/>
        <v>332</v>
      </c>
      <c r="AH5" s="22">
        <f t="shared" si="4"/>
        <v>86.9</v>
      </c>
    </row>
    <row r="6" spans="1:34" x14ac:dyDescent="0.3">
      <c r="A6" s="58" t="s">
        <v>54</v>
      </c>
      <c r="B6" s="11" t="s">
        <v>55</v>
      </c>
      <c r="C6" s="19">
        <v>0.75096774193548388</v>
      </c>
      <c r="D6" s="19">
        <v>0.7371428571428571</v>
      </c>
      <c r="E6" s="19">
        <v>0.75096774193548388</v>
      </c>
      <c r="F6" s="19">
        <v>0.78</v>
      </c>
      <c r="G6" s="19">
        <v>0.71870967741935488</v>
      </c>
      <c r="H6" s="19">
        <v>0.66333333333333333</v>
      </c>
      <c r="I6" s="19">
        <v>0.75096774193548388</v>
      </c>
      <c r="J6" s="19">
        <v>0.75096774193548388</v>
      </c>
      <c r="K6" s="19">
        <v>0.7466666666666667</v>
      </c>
      <c r="L6" s="19">
        <v>0.78322580645161288</v>
      </c>
      <c r="M6" s="19">
        <v>0.53</v>
      </c>
      <c r="N6" s="19">
        <v>0.75096774193548388</v>
      </c>
      <c r="O6" s="12">
        <f>+SUMPRODUCT(C6:N6,C$5:N$5)/SUM(C$5:N$5)</f>
        <v>0.72656914066669442</v>
      </c>
      <c r="P6" s="19">
        <v>0.73483870967741938</v>
      </c>
      <c r="Q6" s="19">
        <v>0.72482758620689658</v>
      </c>
      <c r="R6" s="19">
        <v>0.73483870967741938</v>
      </c>
      <c r="S6" s="19">
        <v>0.73</v>
      </c>
      <c r="T6" s="19">
        <v>0.73483870967741938</v>
      </c>
      <c r="U6" s="19">
        <v>0.73</v>
      </c>
      <c r="V6" s="19">
        <v>0.73483870967741938</v>
      </c>
      <c r="W6" s="19">
        <v>0.73483870967741938</v>
      </c>
      <c r="X6" s="19">
        <v>0.61333333333333329</v>
      </c>
      <c r="Y6" s="19">
        <v>0.73483870967741938</v>
      </c>
      <c r="Z6" s="19">
        <v>0.73</v>
      </c>
      <c r="AA6" s="19">
        <v>0.73483870967741938</v>
      </c>
      <c r="AB6" s="12">
        <f>+SUMPRODUCT(P6:AA6,P$5:AA$5)/SUM(P$5:AA$5)</f>
        <v>0.72348482200766873</v>
      </c>
      <c r="AC6" s="19">
        <v>0.66993855606758823</v>
      </c>
      <c r="AD6" s="19">
        <v>0.74810035842293898</v>
      </c>
      <c r="AE6" s="19">
        <v>0.72802867383512548</v>
      </c>
      <c r="AF6" s="19">
        <v>0.74953405017921149</v>
      </c>
      <c r="AG6" s="12">
        <f>+SUMPRODUCT(AC6:AF6,AC$5:AF$5)/SUM(AC$5:AF$5)</f>
        <v>0.72292386905533046</v>
      </c>
      <c r="AH6" s="19">
        <v>0.70334869431643632</v>
      </c>
    </row>
    <row r="7" spans="1:34" x14ac:dyDescent="0.3">
      <c r="A7" s="58" t="s">
        <v>54</v>
      </c>
      <c r="B7" s="11" t="s">
        <v>56</v>
      </c>
      <c r="C7" s="19">
        <v>0.72096774193548385</v>
      </c>
      <c r="D7" s="19">
        <v>0.70714285714285707</v>
      </c>
      <c r="E7" s="19">
        <v>0.70483870967741935</v>
      </c>
      <c r="F7" s="19">
        <v>0.71666666666666667</v>
      </c>
      <c r="G7" s="19">
        <v>0.72096774193548385</v>
      </c>
      <c r="H7" s="19">
        <v>0.7</v>
      </c>
      <c r="I7" s="19">
        <v>0.72096774193548385</v>
      </c>
      <c r="J7" s="19">
        <v>0.72096774193548385</v>
      </c>
      <c r="K7" s="19">
        <v>0.7</v>
      </c>
      <c r="L7" s="19">
        <v>0.72096774193548385</v>
      </c>
      <c r="M7" s="19">
        <v>0.71666666666666667</v>
      </c>
      <c r="N7" s="19">
        <v>0.72096774193548385</v>
      </c>
      <c r="O7" s="12">
        <f>+SUMPRODUCT(C7:N7,C$5:N$5)/SUM(C$5:N$5)</f>
        <v>0.71438546786027524</v>
      </c>
      <c r="P7" s="19">
        <v>0.65645161290322585</v>
      </c>
      <c r="Q7" s="19">
        <v>0.71206896551724141</v>
      </c>
      <c r="R7" s="19">
        <v>0.72096774193548385</v>
      </c>
      <c r="S7" s="19">
        <v>0.71666666666666667</v>
      </c>
      <c r="T7" s="19">
        <v>0.72096774193548385</v>
      </c>
      <c r="U7" s="19">
        <v>0.71666666666666667</v>
      </c>
      <c r="V7" s="19">
        <v>0.65645161290322585</v>
      </c>
      <c r="W7" s="19">
        <v>0.72096774193548385</v>
      </c>
      <c r="X7" s="19">
        <v>0.56666666666666665</v>
      </c>
      <c r="Y7" s="19">
        <v>0.72096774193548385</v>
      </c>
      <c r="Z7" s="19">
        <v>0.71666666666666667</v>
      </c>
      <c r="AA7" s="19">
        <v>0.72096774193548385</v>
      </c>
      <c r="AB7" s="12">
        <f t="shared" ref="AB7" si="5">+SUMPRODUCT(P7:AA7,P$5:AA$5)/SUM(P$5:AA$5)</f>
        <v>0.6960428057582162</v>
      </c>
      <c r="AC7" s="19">
        <v>0.65971582181259592</v>
      </c>
      <c r="AD7" s="19">
        <v>0.71810035842293907</v>
      </c>
      <c r="AE7" s="19">
        <v>0.70878136200716846</v>
      </c>
      <c r="AF7" s="19">
        <v>0.71953405017921135</v>
      </c>
      <c r="AG7" s="12">
        <f>+SUMPRODUCT(AC7:AF7,AC$5:AF$5)/SUM(AC$5:AF$5)</f>
        <v>0.70075432683113403</v>
      </c>
      <c r="AH7" s="19">
        <v>0.71635944700460819</v>
      </c>
    </row>
    <row r="8" spans="1:34" x14ac:dyDescent="0.3">
      <c r="A8" s="58" t="s">
        <v>54</v>
      </c>
      <c r="B8" s="11" t="s">
        <v>57</v>
      </c>
      <c r="C8" s="19">
        <v>0.75096774193548388</v>
      </c>
      <c r="D8" s="19">
        <v>0.59428571428571431</v>
      </c>
      <c r="E8" s="19">
        <v>0.75096774193548388</v>
      </c>
      <c r="F8" s="19">
        <v>0.7466666666666667</v>
      </c>
      <c r="G8" s="19">
        <v>0.73483870967741938</v>
      </c>
      <c r="H8" s="19">
        <v>0.7466666666666667</v>
      </c>
      <c r="I8" s="19">
        <v>0.73483870967741938</v>
      </c>
      <c r="J8" s="19">
        <v>0.75096774193548388</v>
      </c>
      <c r="K8" s="19">
        <v>0.7466666666666667</v>
      </c>
      <c r="L8" s="19">
        <v>0.73483870967741938</v>
      </c>
      <c r="M8" s="19">
        <v>0.7466666666666667</v>
      </c>
      <c r="N8" s="19">
        <v>0.75096774193548388</v>
      </c>
      <c r="O8" s="12">
        <f t="shared" ref="O8" si="6">+SUMPRODUCT(C8:N8,C$5:N$5)/SUM(C$5:N$5)</f>
        <v>0.73294726681238709</v>
      </c>
      <c r="P8" s="19">
        <v>0.75096774193548388</v>
      </c>
      <c r="Q8" s="19">
        <v>0.74206896551724144</v>
      </c>
      <c r="R8" s="19">
        <v>0.75096774193548388</v>
      </c>
      <c r="S8" s="19">
        <v>0.7466666666666667</v>
      </c>
      <c r="T8" s="19">
        <v>0.75096774193548388</v>
      </c>
      <c r="U8" s="19">
        <v>0.54666666666666663</v>
      </c>
      <c r="V8" s="19">
        <v>0.75096774193548388</v>
      </c>
      <c r="W8" s="19">
        <v>0.62193548387096775</v>
      </c>
      <c r="X8" s="19">
        <v>0.7466666666666667</v>
      </c>
      <c r="Y8" s="19">
        <v>0.75096774193548388</v>
      </c>
      <c r="Z8" s="19">
        <v>0.71333333333333337</v>
      </c>
      <c r="AA8" s="19">
        <v>0.75096774193548388</v>
      </c>
      <c r="AB8" s="12">
        <f>+SUMPRODUCT(P8:AA8,P$5:AA$5)/SUM(P$5:AA$5)</f>
        <v>0.71951761328184938</v>
      </c>
      <c r="AC8" s="19">
        <v>0.72370199692780346</v>
      </c>
      <c r="AD8" s="19">
        <v>0.72370199692780346</v>
      </c>
      <c r="AE8" s="19">
        <v>0.72370199692780346</v>
      </c>
      <c r="AF8" s="19">
        <v>0.72370199692780346</v>
      </c>
      <c r="AG8" s="12">
        <f>+SUMPRODUCT(AC8:AF8,AC$5:AF$5)/SUM(AC$5:AF$5)</f>
        <v>0.72370199692780346</v>
      </c>
      <c r="AH8" s="19"/>
    </row>
    <row r="9" spans="1:34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4"/>
      <c r="AC9" s="13"/>
      <c r="AD9" s="13"/>
      <c r="AE9" s="13"/>
      <c r="AF9" s="13"/>
      <c r="AG9" s="13"/>
      <c r="AH9" s="13"/>
    </row>
    <row r="10" spans="1:34" x14ac:dyDescent="0.3">
      <c r="A10" s="58" t="s">
        <v>58</v>
      </c>
      <c r="B10" s="11" t="s">
        <v>55</v>
      </c>
      <c r="C10" s="19">
        <v>0.81</v>
      </c>
      <c r="D10" s="19">
        <v>0.81</v>
      </c>
      <c r="E10" s="19">
        <v>0.81</v>
      </c>
      <c r="F10" s="19">
        <v>0.81</v>
      </c>
      <c r="G10" s="19">
        <v>0.81</v>
      </c>
      <c r="H10" s="19">
        <v>0.81</v>
      </c>
      <c r="I10" s="19">
        <v>0.81</v>
      </c>
      <c r="J10" s="19">
        <v>0.81</v>
      </c>
      <c r="K10" s="19">
        <v>0.81</v>
      </c>
      <c r="L10" s="19">
        <v>0.81</v>
      </c>
      <c r="M10" s="19">
        <v>0.81</v>
      </c>
      <c r="N10" s="19">
        <v>0.81</v>
      </c>
      <c r="O10" s="12">
        <f>+SUMPRODUCT(C10:N10,C$5:N$5)/SUM(C$5:N$5)</f>
        <v>0.80999999999999994</v>
      </c>
      <c r="P10" s="19">
        <v>0.81</v>
      </c>
      <c r="Q10" s="19">
        <v>0.81</v>
      </c>
      <c r="R10" s="19">
        <v>0.81</v>
      </c>
      <c r="S10" s="19">
        <v>0.81</v>
      </c>
      <c r="T10" s="19">
        <v>0.81</v>
      </c>
      <c r="U10" s="19">
        <v>0.81</v>
      </c>
      <c r="V10" s="19">
        <v>0.81</v>
      </c>
      <c r="W10" s="19">
        <v>0.81</v>
      </c>
      <c r="X10" s="19">
        <v>0.81</v>
      </c>
      <c r="Y10" s="19">
        <v>0.81</v>
      </c>
      <c r="Z10" s="19">
        <v>0.81</v>
      </c>
      <c r="AA10" s="19">
        <v>0.81</v>
      </c>
      <c r="AB10" s="12">
        <f>+SUMPRODUCT(P10:AA10,P$5:AA$5)/SUM(P$5:AA$5)</f>
        <v>0.80999999999999994</v>
      </c>
      <c r="AC10" s="19">
        <v>0.81</v>
      </c>
      <c r="AD10" s="19">
        <v>0.81</v>
      </c>
      <c r="AE10" s="19">
        <v>0.81</v>
      </c>
      <c r="AF10" s="19">
        <v>0.81</v>
      </c>
      <c r="AG10" s="12">
        <f>+SUMPRODUCT(AC10:AF10,AC$5:AF$5)/SUM(AC$5:AF$5)</f>
        <v>0.81</v>
      </c>
      <c r="AH10" s="19">
        <v>0.81</v>
      </c>
    </row>
    <row r="11" spans="1:34" x14ac:dyDescent="0.3">
      <c r="A11" s="58" t="s">
        <v>58</v>
      </c>
      <c r="B11" s="11" t="s">
        <v>56</v>
      </c>
      <c r="C11" s="19">
        <v>0.8</v>
      </c>
      <c r="D11" s="19">
        <v>0.8</v>
      </c>
      <c r="E11" s="19">
        <v>0.8</v>
      </c>
      <c r="F11" s="19">
        <v>0.8</v>
      </c>
      <c r="G11" s="19">
        <v>0.8</v>
      </c>
      <c r="H11" s="19">
        <v>0.8</v>
      </c>
      <c r="I11" s="19">
        <v>0.8</v>
      </c>
      <c r="J11" s="19">
        <v>0.8</v>
      </c>
      <c r="K11" s="19">
        <v>0.8</v>
      </c>
      <c r="L11" s="19">
        <v>0.8</v>
      </c>
      <c r="M11" s="19">
        <v>0.8</v>
      </c>
      <c r="N11" s="19">
        <v>0.8</v>
      </c>
      <c r="O11" s="12">
        <f>+SUMPRODUCT(C11:N11,C$5:N$5)/SUM(C$5:N$5)</f>
        <v>0.79999999999999993</v>
      </c>
      <c r="P11" s="19">
        <v>0.8</v>
      </c>
      <c r="Q11" s="19">
        <v>0.8</v>
      </c>
      <c r="R11" s="19">
        <v>0.8</v>
      </c>
      <c r="S11" s="19">
        <v>0.8</v>
      </c>
      <c r="T11" s="19">
        <v>0.8</v>
      </c>
      <c r="U11" s="19">
        <v>0.8</v>
      </c>
      <c r="V11" s="19">
        <v>0.8</v>
      </c>
      <c r="W11" s="19">
        <v>0.8</v>
      </c>
      <c r="X11" s="19">
        <v>0.8</v>
      </c>
      <c r="Y11" s="19">
        <v>0.8</v>
      </c>
      <c r="Z11" s="19">
        <v>0.8</v>
      </c>
      <c r="AA11" s="19">
        <v>0.8</v>
      </c>
      <c r="AB11" s="12">
        <f t="shared" ref="AB11" si="7">+SUMPRODUCT(P11:AA11,P$5:AA$5)/SUM(P$5:AA$5)</f>
        <v>0.79999999999999993</v>
      </c>
      <c r="AC11" s="19">
        <v>0.8</v>
      </c>
      <c r="AD11" s="19">
        <v>0.8</v>
      </c>
      <c r="AE11" s="19">
        <v>0.8</v>
      </c>
      <c r="AF11" s="19">
        <v>0.8</v>
      </c>
      <c r="AG11" s="12">
        <f>+SUMPRODUCT(AC11:AF11,AC$5:AF$5)/SUM(AC$5:AF$5)</f>
        <v>0.8</v>
      </c>
      <c r="AH11" s="19">
        <v>0.8</v>
      </c>
    </row>
    <row r="12" spans="1:34" x14ac:dyDescent="0.3">
      <c r="A12" s="58" t="s">
        <v>58</v>
      </c>
      <c r="B12" s="11" t="s">
        <v>57</v>
      </c>
      <c r="C12" s="19">
        <v>0.8</v>
      </c>
      <c r="D12" s="19">
        <v>0.8</v>
      </c>
      <c r="E12" s="19">
        <v>0.8</v>
      </c>
      <c r="F12" s="19">
        <v>0.8</v>
      </c>
      <c r="G12" s="19">
        <v>0.8</v>
      </c>
      <c r="H12" s="19">
        <v>0.8</v>
      </c>
      <c r="I12" s="19">
        <v>0.8</v>
      </c>
      <c r="J12" s="19">
        <v>0.8</v>
      </c>
      <c r="K12" s="19">
        <v>0.8</v>
      </c>
      <c r="L12" s="19">
        <v>0.8</v>
      </c>
      <c r="M12" s="19">
        <v>0.8</v>
      </c>
      <c r="N12" s="19">
        <v>0.8</v>
      </c>
      <c r="O12" s="12">
        <f t="shared" ref="O12" si="8">+SUMPRODUCT(C12:N12,C$5:N$5)/SUM(C$5:N$5)</f>
        <v>0.79999999999999993</v>
      </c>
      <c r="P12" s="19">
        <v>0.8</v>
      </c>
      <c r="Q12" s="19">
        <v>0.8</v>
      </c>
      <c r="R12" s="19">
        <v>0.8</v>
      </c>
      <c r="S12" s="19">
        <v>0.8</v>
      </c>
      <c r="T12" s="19">
        <v>0.8</v>
      </c>
      <c r="U12" s="19">
        <v>0.8</v>
      </c>
      <c r="V12" s="19">
        <v>0.8</v>
      </c>
      <c r="W12" s="19">
        <v>0.8</v>
      </c>
      <c r="X12" s="19">
        <v>0.8</v>
      </c>
      <c r="Y12" s="19">
        <v>0.8</v>
      </c>
      <c r="Z12" s="19">
        <v>0.8</v>
      </c>
      <c r="AA12" s="19">
        <v>0.8</v>
      </c>
      <c r="AB12" s="12">
        <f>+SUMPRODUCT(P12:AA12,P$5:AA$5)/SUM(P$5:AA$5)</f>
        <v>0.79999999999999993</v>
      </c>
      <c r="AC12" s="19">
        <v>0.8</v>
      </c>
      <c r="AD12" s="19">
        <v>0.8</v>
      </c>
      <c r="AE12" s="19">
        <v>0.8</v>
      </c>
      <c r="AF12" s="19">
        <v>0.8</v>
      </c>
      <c r="AG12" s="12">
        <f>+SUMPRODUCT(AC12:AF12,AC$5:AF$5)/SUM(AC$5:AF$5)</f>
        <v>0.8</v>
      </c>
      <c r="AH12" s="19">
        <v>0.8</v>
      </c>
    </row>
    <row r="13" spans="1:34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3"/>
      <c r="AD13" s="13"/>
      <c r="AE13" s="13"/>
      <c r="AF13" s="13"/>
      <c r="AG13" s="14"/>
      <c r="AH13" s="13"/>
    </row>
    <row r="14" spans="1:34" x14ac:dyDescent="0.3">
      <c r="A14" s="59" t="s">
        <v>59</v>
      </c>
      <c r="B14" s="11" t="s">
        <v>55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2">
        <f>+SUMPRODUCT(C14:N14,C$5:N$5)/SUM(C$5:N$5)</f>
        <v>0</v>
      </c>
      <c r="P14" s="19">
        <v>0.51870200814971557</v>
      </c>
      <c r="Q14" s="19">
        <v>0.58508980930667476</v>
      </c>
      <c r="R14" s="19">
        <v>0.50972915848023204</v>
      </c>
      <c r="S14" s="19">
        <v>0.52241089785102024</v>
      </c>
      <c r="T14" s="19">
        <v>0.50222996764430827</v>
      </c>
      <c r="U14" s="19">
        <v>0.52241089785102024</v>
      </c>
      <c r="V14" s="19">
        <v>0.49012639629801047</v>
      </c>
      <c r="W14" s="19">
        <v>0.49012639629801047</v>
      </c>
      <c r="X14" s="19">
        <v>0.55018546961967507</v>
      </c>
      <c r="Y14" s="19">
        <v>0.46245024013290775</v>
      </c>
      <c r="Z14" s="19">
        <v>0.48103271553550869</v>
      </c>
      <c r="AA14" s="19">
        <v>0.46245024013290775</v>
      </c>
      <c r="AB14" s="12">
        <f>+SUMPRODUCT(P14:AA14,P$5:AA$5)/SUM(P$5:AA$5)</f>
        <v>0.50759463729322896</v>
      </c>
      <c r="AC14" s="19">
        <v>0.50855770147773383</v>
      </c>
      <c r="AD14" s="19">
        <v>0.45551201706822364</v>
      </c>
      <c r="AE14" s="19">
        <v>0.4744408081941312</v>
      </c>
      <c r="AF14" s="19">
        <v>0.47918753651429458</v>
      </c>
      <c r="AG14" s="12">
        <f>+SUMPRODUCT(AC14:AF14,AC$5:AF$5)/SUM(AC$5:AF$5)</f>
        <v>0.48007060185913769</v>
      </c>
      <c r="AH14" s="19"/>
    </row>
    <row r="15" spans="1:34" x14ac:dyDescent="0.3">
      <c r="A15" s="59" t="s">
        <v>59</v>
      </c>
      <c r="B15" s="11" t="s">
        <v>56</v>
      </c>
      <c r="C15" s="19">
        <v>0.23525009471520286</v>
      </c>
      <c r="D15" s="19">
        <v>0.11268498475102064</v>
      </c>
      <c r="E15" s="19">
        <v>9.9721832426788698E-2</v>
      </c>
      <c r="F15" s="19">
        <v>0.21231143313438369</v>
      </c>
      <c r="G15" s="19">
        <v>0.37888622719525078</v>
      </c>
      <c r="H15" s="19">
        <v>0.36940811154624803</v>
      </c>
      <c r="I15" s="19">
        <v>0.41144347924664149</v>
      </c>
      <c r="J15" s="19">
        <v>0.21573821750818792</v>
      </c>
      <c r="K15" s="19">
        <v>0.22301587301587303</v>
      </c>
      <c r="L15" s="19">
        <v>0.35492609853256901</v>
      </c>
      <c r="M15" s="19">
        <v>0.45220864968565699</v>
      </c>
      <c r="N15" s="19">
        <v>0.50959905457254384</v>
      </c>
      <c r="O15" s="12">
        <f>+SUMPRODUCT(C15:N15,C$5:N$5)/SUM(C$5:N$5)</f>
        <v>0.29787743885809587</v>
      </c>
      <c r="P15" s="19">
        <v>0.3014312274509961</v>
      </c>
      <c r="Q15" s="19">
        <v>0.53203283660283518</v>
      </c>
      <c r="R15" s="19">
        <v>0.36567018916698546</v>
      </c>
      <c r="S15" s="19">
        <v>0.52857661769917641</v>
      </c>
      <c r="T15" s="19">
        <v>0.50847415125424134</v>
      </c>
      <c r="U15" s="19">
        <v>0.52857661769917641</v>
      </c>
      <c r="V15" s="19">
        <v>0.57834333044603126</v>
      </c>
      <c r="W15" s="19">
        <v>0.52659001228531266</v>
      </c>
      <c r="X15" s="19">
        <v>0.56976196713196448</v>
      </c>
      <c r="Y15" s="19">
        <v>0.53303342311731294</v>
      </c>
      <c r="Z15" s="19">
        <v>0.55410683751962531</v>
      </c>
      <c r="AA15" s="19">
        <v>0.53303342311731294</v>
      </c>
      <c r="AB15" s="12">
        <f t="shared" ref="AB15" si="9">+SUMPRODUCT(P15:AA15,P$5:AA$5)/SUM(P$5:AA$5)</f>
        <v>0.5017981228207109</v>
      </c>
      <c r="AC15" s="19">
        <v>0.51643814039346669</v>
      </c>
      <c r="AD15" s="19">
        <v>0.47454189270017277</v>
      </c>
      <c r="AE15" s="19">
        <v>0.48732448526114763</v>
      </c>
      <c r="AF15" s="19">
        <v>0.49916661337917467</v>
      </c>
      <c r="AG15" s="12">
        <f>+SUMPRODUCT(AC15:AF15,AC$5:AF$5)/SUM(AC$5:AF$5)</f>
        <v>0.49490414432970103</v>
      </c>
      <c r="AH15" s="19">
        <v>0.26989517075676106</v>
      </c>
    </row>
    <row r="16" spans="1:34" x14ac:dyDescent="0.3">
      <c r="A16" s="59" t="s">
        <v>59</v>
      </c>
      <c r="B16" s="11" t="s">
        <v>57</v>
      </c>
      <c r="C16" s="19">
        <v>0.30166474041899194</v>
      </c>
      <c r="D16" s="19">
        <v>0.39593173502569357</v>
      </c>
      <c r="E16" s="19">
        <v>0.26738448658070496</v>
      </c>
      <c r="F16" s="19">
        <v>0.28200829231077762</v>
      </c>
      <c r="G16" s="19">
        <v>0.39051661953534533</v>
      </c>
      <c r="H16" s="19">
        <v>0.40777824184070033</v>
      </c>
      <c r="I16" s="19">
        <v>0.46018798432908614</v>
      </c>
      <c r="J16" s="19">
        <v>0.28168785156132314</v>
      </c>
      <c r="K16" s="19">
        <v>0.5670254877518992</v>
      </c>
      <c r="L16" s="19">
        <v>0.38062880195095111</v>
      </c>
      <c r="M16" s="19">
        <v>0.44255207752905223</v>
      </c>
      <c r="N16" s="19">
        <v>0.38198823210082428</v>
      </c>
      <c r="O16" s="12">
        <f t="shared" ref="O16" si="10">+SUMPRODUCT(C16:N16,C$5:N$5)/SUM(C$5:N$5)</f>
        <v>0.37752934319230463</v>
      </c>
      <c r="P16" s="19">
        <v>0.50756150110182652</v>
      </c>
      <c r="Q16" s="19">
        <v>0.57149571522427045</v>
      </c>
      <c r="R16" s="19">
        <v>0.49878136727575972</v>
      </c>
      <c r="S16" s="19">
        <v>0.51074994030970278</v>
      </c>
      <c r="T16" s="19">
        <v>0.49144324153510915</v>
      </c>
      <c r="U16" s="19">
        <v>0.57057715424414646</v>
      </c>
      <c r="V16" s="19">
        <v>0.47959962661807037</v>
      </c>
      <c r="W16" s="19">
        <v>0.57910162384173647</v>
      </c>
      <c r="X16" s="19">
        <v>0.49844104052092314</v>
      </c>
      <c r="Y16" s="19">
        <v>0.45251788961458927</v>
      </c>
      <c r="Z16" s="19">
        <v>0.49227179767418872</v>
      </c>
      <c r="AA16" s="19">
        <v>0.49726302134425743</v>
      </c>
      <c r="AB16" s="12">
        <f>+SUMPRODUCT(P16:AA16,P$5:AA$5)/SUM(P$5:AA$5)</f>
        <v>0.51216689803711846</v>
      </c>
      <c r="AC16" s="19">
        <v>0.51145002454548094</v>
      </c>
      <c r="AD16" s="19">
        <v>0.38604131628335747</v>
      </c>
      <c r="AE16" s="19">
        <v>0.38656164549801164</v>
      </c>
      <c r="AF16" s="19">
        <v>0.18843081019823751</v>
      </c>
      <c r="AG16" s="12">
        <f>+SUMPRODUCT(AC16:AF16,AC$5:AF$5)/SUM(AC$5:AF$5)</f>
        <v>0.36972923079792208</v>
      </c>
      <c r="AH16" s="19"/>
    </row>
    <row r="17" spans="1:34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3"/>
      <c r="AD17" s="13"/>
      <c r="AE17" s="13"/>
      <c r="AF17" s="13"/>
      <c r="AG17" s="14"/>
      <c r="AH17" s="13"/>
    </row>
    <row r="18" spans="1:34" x14ac:dyDescent="0.3">
      <c r="A18" s="59" t="s">
        <v>60</v>
      </c>
      <c r="B18" s="11" t="s">
        <v>55</v>
      </c>
      <c r="C18" s="19">
        <f>+C10*C$5/C$3</f>
        <v>0.7890967741935484</v>
      </c>
      <c r="D18" s="19">
        <f t="shared" ref="D18:N18" si="11">+D10*D$5/D$3</f>
        <v>0.77528571428571436</v>
      </c>
      <c r="E18" s="19">
        <f t="shared" si="11"/>
        <v>0.78125806451612911</v>
      </c>
      <c r="F18" s="19">
        <f t="shared" si="11"/>
        <v>0.72899999999999998</v>
      </c>
      <c r="G18" s="19">
        <f t="shared" si="11"/>
        <v>0.70548387096774201</v>
      </c>
      <c r="H18" s="19">
        <f t="shared" si="11"/>
        <v>0.71820000000000006</v>
      </c>
      <c r="I18" s="19">
        <f t="shared" si="11"/>
        <v>0.72116129032258069</v>
      </c>
      <c r="J18" s="19">
        <f t="shared" si="11"/>
        <v>0.70548387096774201</v>
      </c>
      <c r="K18" s="19">
        <f t="shared" si="11"/>
        <v>0.6885</v>
      </c>
      <c r="L18" s="19">
        <f t="shared" si="11"/>
        <v>0.69241935483870964</v>
      </c>
      <c r="M18" s="19">
        <f t="shared" si="11"/>
        <v>0.73710000000000009</v>
      </c>
      <c r="N18" s="19">
        <f t="shared" si="11"/>
        <v>0.77341935483870972</v>
      </c>
      <c r="O18" s="12">
        <f>+SUMPRODUCT(C18:N18,C$5:N$5)/SUM(C$5:N$5)</f>
        <v>0.73618490122098934</v>
      </c>
      <c r="P18" s="19">
        <f>+P10*P$5/P$3</f>
        <v>0.7890967741935484</v>
      </c>
      <c r="Q18" s="19">
        <f t="shared" ref="Q18:AA18" si="12">+Q10*Q$5/Q$3</f>
        <v>0.77528571428571436</v>
      </c>
      <c r="R18" s="19">
        <f t="shared" si="12"/>
        <v>0.78125806451612911</v>
      </c>
      <c r="S18" s="19">
        <f t="shared" si="12"/>
        <v>0.72899999999999998</v>
      </c>
      <c r="T18" s="19">
        <f t="shared" si="12"/>
        <v>0.70548387096774201</v>
      </c>
      <c r="U18" s="19">
        <f t="shared" si="12"/>
        <v>0.71820000000000006</v>
      </c>
      <c r="V18" s="19">
        <f t="shared" si="12"/>
        <v>0.72116129032258069</v>
      </c>
      <c r="W18" s="19">
        <f t="shared" si="12"/>
        <v>0.70548387096774201</v>
      </c>
      <c r="X18" s="19">
        <f t="shared" si="12"/>
        <v>0.6885</v>
      </c>
      <c r="Y18" s="19">
        <f t="shared" si="12"/>
        <v>0.69241935483870964</v>
      </c>
      <c r="Z18" s="19">
        <f t="shared" si="12"/>
        <v>0.73710000000000009</v>
      </c>
      <c r="AA18" s="19">
        <f t="shared" si="12"/>
        <v>0.77341935483870972</v>
      </c>
      <c r="AB18" s="12">
        <f>+SUMPRODUCT(P18:AA18,P$5:AA$5)/SUM(P$5:AA$5)</f>
        <v>0.73618490122098934</v>
      </c>
      <c r="AC18" s="19">
        <f t="shared" ref="AC18:AF20" si="13">+AC10*AC$5/AC$3</f>
        <v>0.78240659340659358</v>
      </c>
      <c r="AD18" s="19">
        <f t="shared" si="13"/>
        <v>0.71742857142857142</v>
      </c>
      <c r="AE18" s="19">
        <f t="shared" si="13"/>
        <v>0.70522826086956525</v>
      </c>
      <c r="AF18" s="19">
        <f t="shared" si="13"/>
        <v>0.73428260869565221</v>
      </c>
      <c r="AG18" s="12">
        <f>+SUMPRODUCT(AC18:AF18,AC$5:AF$5)/SUM(AC$5:AF$5)</f>
        <v>0.73592239662184333</v>
      </c>
      <c r="AH18" s="19">
        <f t="shared" ref="AH18:AH20" si="14">+AH10*AH$5/AH$3</f>
        <v>0.78210000000000013</v>
      </c>
    </row>
    <row r="19" spans="1:34" x14ac:dyDescent="0.3">
      <c r="A19" s="59" t="s">
        <v>60</v>
      </c>
      <c r="B19" s="11" t="s">
        <v>56</v>
      </c>
      <c r="C19" s="19">
        <f t="shared" ref="C19:N20" si="15">+C11*C$5/C$3</f>
        <v>0.77935483870967748</v>
      </c>
      <c r="D19" s="19">
        <f t="shared" si="15"/>
        <v>0.76571428571428579</v>
      </c>
      <c r="E19" s="19">
        <f t="shared" si="15"/>
        <v>0.77161290322580656</v>
      </c>
      <c r="F19" s="19">
        <f t="shared" si="15"/>
        <v>0.72000000000000008</v>
      </c>
      <c r="G19" s="19">
        <f t="shared" si="15"/>
        <v>0.6967741935483871</v>
      </c>
      <c r="H19" s="19">
        <f t="shared" si="15"/>
        <v>0.70933333333333337</v>
      </c>
      <c r="I19" s="19">
        <f t="shared" si="15"/>
        <v>0.71225806451612905</v>
      </c>
      <c r="J19" s="19">
        <f t="shared" si="15"/>
        <v>0.6967741935483871</v>
      </c>
      <c r="K19" s="19">
        <f t="shared" si="15"/>
        <v>0.68</v>
      </c>
      <c r="L19" s="19">
        <f t="shared" si="15"/>
        <v>0.68387096774193556</v>
      </c>
      <c r="M19" s="19">
        <f t="shared" si="15"/>
        <v>0.72800000000000009</v>
      </c>
      <c r="N19" s="19">
        <f t="shared" si="15"/>
        <v>0.76387096774193564</v>
      </c>
      <c r="O19" s="12">
        <f>+SUMPRODUCT(C19:N19,C$5:N$5)/SUM(C$5:N$5)</f>
        <v>0.72709619873677944</v>
      </c>
      <c r="P19" s="19">
        <f t="shared" ref="P19:AA20" si="16">+P11*P$5/P$3</f>
        <v>0.77935483870967748</v>
      </c>
      <c r="Q19" s="19">
        <f t="shared" si="16"/>
        <v>0.76571428571428579</v>
      </c>
      <c r="R19" s="19">
        <f t="shared" si="16"/>
        <v>0.77161290322580656</v>
      </c>
      <c r="S19" s="19">
        <f t="shared" si="16"/>
        <v>0.72000000000000008</v>
      </c>
      <c r="T19" s="19">
        <f t="shared" si="16"/>
        <v>0.6967741935483871</v>
      </c>
      <c r="U19" s="19">
        <f t="shared" si="16"/>
        <v>0.70933333333333337</v>
      </c>
      <c r="V19" s="19">
        <f t="shared" si="16"/>
        <v>0.71225806451612905</v>
      </c>
      <c r="W19" s="19">
        <f t="shared" si="16"/>
        <v>0.6967741935483871</v>
      </c>
      <c r="X19" s="19">
        <f t="shared" si="16"/>
        <v>0.68</v>
      </c>
      <c r="Y19" s="19">
        <f t="shared" si="16"/>
        <v>0.68387096774193556</v>
      </c>
      <c r="Z19" s="19">
        <f t="shared" si="16"/>
        <v>0.72800000000000009</v>
      </c>
      <c r="AA19" s="19">
        <f t="shared" si="16"/>
        <v>0.76387096774193564</v>
      </c>
      <c r="AB19" s="12">
        <f t="shared" ref="AB19" si="17">+SUMPRODUCT(P19:AA19,P$5:AA$5)/SUM(P$5:AA$5)</f>
        <v>0.72709619873677944</v>
      </c>
      <c r="AC19" s="19">
        <f t="shared" si="13"/>
        <v>0.77274725274725287</v>
      </c>
      <c r="AD19" s="19">
        <f t="shared" si="13"/>
        <v>0.70857142857142863</v>
      </c>
      <c r="AE19" s="19">
        <f t="shared" si="13"/>
        <v>0.6965217391304348</v>
      </c>
      <c r="AF19" s="19">
        <f t="shared" si="13"/>
        <v>0.72521739130434792</v>
      </c>
      <c r="AG19" s="12">
        <f>+SUMPRODUCT(AC19:AF19,AC$5:AF$5)/SUM(AC$5:AF$5)</f>
        <v>0.726836934935154</v>
      </c>
      <c r="AH19" s="19">
        <f t="shared" si="14"/>
        <v>0.7724444444444446</v>
      </c>
    </row>
    <row r="20" spans="1:34" x14ac:dyDescent="0.3">
      <c r="A20" s="59" t="s">
        <v>60</v>
      </c>
      <c r="B20" s="11" t="s">
        <v>57</v>
      </c>
      <c r="C20" s="19">
        <f t="shared" si="15"/>
        <v>0.77935483870967748</v>
      </c>
      <c r="D20" s="19">
        <f t="shared" si="15"/>
        <v>0.76571428571428579</v>
      </c>
      <c r="E20" s="19">
        <f t="shared" si="15"/>
        <v>0.77161290322580656</v>
      </c>
      <c r="F20" s="19">
        <f t="shared" si="15"/>
        <v>0.72000000000000008</v>
      </c>
      <c r="G20" s="19">
        <f t="shared" si="15"/>
        <v>0.6967741935483871</v>
      </c>
      <c r="H20" s="19">
        <f t="shared" si="15"/>
        <v>0.70933333333333337</v>
      </c>
      <c r="I20" s="19">
        <f t="shared" si="15"/>
        <v>0.71225806451612905</v>
      </c>
      <c r="J20" s="19">
        <f t="shared" si="15"/>
        <v>0.6967741935483871</v>
      </c>
      <c r="K20" s="19">
        <f t="shared" si="15"/>
        <v>0.68</v>
      </c>
      <c r="L20" s="19">
        <f t="shared" si="15"/>
        <v>0.68387096774193556</v>
      </c>
      <c r="M20" s="19">
        <f t="shared" si="15"/>
        <v>0.72800000000000009</v>
      </c>
      <c r="N20" s="19">
        <f t="shared" si="15"/>
        <v>0.76387096774193564</v>
      </c>
      <c r="O20" s="12">
        <f t="shared" ref="O20" si="18">+SUMPRODUCT(C20:N20,C$5:N$5)/SUM(C$5:N$5)</f>
        <v>0.72709619873677944</v>
      </c>
      <c r="P20" s="19">
        <f t="shared" si="16"/>
        <v>0.77935483870967748</v>
      </c>
      <c r="Q20" s="19">
        <f t="shared" si="16"/>
        <v>0.76571428571428579</v>
      </c>
      <c r="R20" s="19">
        <f t="shared" si="16"/>
        <v>0.77161290322580656</v>
      </c>
      <c r="S20" s="19">
        <f t="shared" si="16"/>
        <v>0.72000000000000008</v>
      </c>
      <c r="T20" s="19">
        <f t="shared" si="16"/>
        <v>0.6967741935483871</v>
      </c>
      <c r="U20" s="19">
        <f t="shared" si="16"/>
        <v>0.70933333333333337</v>
      </c>
      <c r="V20" s="19">
        <f t="shared" si="16"/>
        <v>0.71225806451612905</v>
      </c>
      <c r="W20" s="19">
        <f t="shared" si="16"/>
        <v>0.6967741935483871</v>
      </c>
      <c r="X20" s="19">
        <f t="shared" si="16"/>
        <v>0.68</v>
      </c>
      <c r="Y20" s="19">
        <f t="shared" si="16"/>
        <v>0.68387096774193556</v>
      </c>
      <c r="Z20" s="19">
        <f t="shared" si="16"/>
        <v>0.72800000000000009</v>
      </c>
      <c r="AA20" s="19">
        <f t="shared" si="16"/>
        <v>0.76387096774193564</v>
      </c>
      <c r="AB20" s="12">
        <f>+SUMPRODUCT(P20:AA20,P$5:AA$5)/SUM(P$5:AA$5)</f>
        <v>0.72709619873677944</v>
      </c>
      <c r="AC20" s="19">
        <f t="shared" si="13"/>
        <v>0.77274725274725287</v>
      </c>
      <c r="AD20" s="19">
        <f t="shared" si="13"/>
        <v>0.70857142857142863</v>
      </c>
      <c r="AE20" s="19">
        <f t="shared" si="13"/>
        <v>0.6965217391304348</v>
      </c>
      <c r="AF20" s="19">
        <f t="shared" si="13"/>
        <v>0.72521739130434792</v>
      </c>
      <c r="AG20" s="12">
        <f>+SUMPRODUCT(AC20:AF20,AC$5:AF$5)/SUM(AC$5:AF$5)</f>
        <v>0.726836934935154</v>
      </c>
      <c r="AH20" s="19">
        <f t="shared" si="14"/>
        <v>0.7724444444444446</v>
      </c>
    </row>
    <row r="21" spans="1:34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3"/>
      <c r="AD21" s="13"/>
      <c r="AE21" s="13"/>
      <c r="AF21" s="13"/>
      <c r="AG21" s="14"/>
      <c r="AH21" s="13"/>
    </row>
    <row r="22" spans="1:34" x14ac:dyDescent="0.3">
      <c r="A22" s="58" t="s">
        <v>61</v>
      </c>
      <c r="B22" s="11" t="s">
        <v>55</v>
      </c>
      <c r="C22" s="60">
        <v>20</v>
      </c>
      <c r="D22" s="60">
        <v>20</v>
      </c>
      <c r="E22" s="60">
        <v>20</v>
      </c>
      <c r="F22" s="60">
        <v>20</v>
      </c>
      <c r="G22" s="60">
        <v>20</v>
      </c>
      <c r="H22" s="60">
        <v>20</v>
      </c>
      <c r="I22" s="60">
        <v>20</v>
      </c>
      <c r="J22" s="60">
        <v>20</v>
      </c>
      <c r="K22" s="60">
        <v>20</v>
      </c>
      <c r="L22" s="60">
        <v>20</v>
      </c>
      <c r="M22" s="60">
        <v>20</v>
      </c>
      <c r="N22" s="60">
        <v>20</v>
      </c>
      <c r="O22" s="15">
        <f>+SUMPRODUCT(C22:N22,C$5:N$5)/SUM(C$5:N$5)</f>
        <v>19.999999999999996</v>
      </c>
      <c r="P22" s="60">
        <v>20</v>
      </c>
      <c r="Q22" s="60">
        <v>20</v>
      </c>
      <c r="R22" s="60">
        <v>20</v>
      </c>
      <c r="S22" s="60">
        <v>20</v>
      </c>
      <c r="T22" s="60">
        <v>20</v>
      </c>
      <c r="U22" s="60">
        <v>20</v>
      </c>
      <c r="V22" s="60">
        <v>20</v>
      </c>
      <c r="W22" s="60">
        <v>20</v>
      </c>
      <c r="X22" s="60">
        <v>20</v>
      </c>
      <c r="Y22" s="60">
        <v>20</v>
      </c>
      <c r="Z22" s="60">
        <v>20</v>
      </c>
      <c r="AA22" s="60">
        <v>20</v>
      </c>
      <c r="AB22" s="15">
        <f>+SUMPRODUCT(P22:AA22,P$5:AA$5)/SUM(P$5:AA$5)</f>
        <v>19.999999999999996</v>
      </c>
      <c r="AC22" s="60">
        <v>20</v>
      </c>
      <c r="AD22" s="60">
        <v>20</v>
      </c>
      <c r="AE22" s="60">
        <v>20</v>
      </c>
      <c r="AF22" s="60">
        <v>20</v>
      </c>
      <c r="AG22" s="15">
        <f>+SUMPRODUCT(AC22:AF22,AC$5:AF$5)/SUM(AC$5:AF$5)</f>
        <v>20</v>
      </c>
      <c r="AH22" s="60">
        <v>20</v>
      </c>
    </row>
    <row r="23" spans="1:34" x14ac:dyDescent="0.3">
      <c r="A23" s="58" t="s">
        <v>61</v>
      </c>
      <c r="B23" s="11" t="s">
        <v>56</v>
      </c>
      <c r="C23" s="60">
        <v>20</v>
      </c>
      <c r="D23" s="60">
        <v>20</v>
      </c>
      <c r="E23" s="60">
        <v>20</v>
      </c>
      <c r="F23" s="60">
        <v>20</v>
      </c>
      <c r="G23" s="60">
        <v>20</v>
      </c>
      <c r="H23" s="60">
        <v>20</v>
      </c>
      <c r="I23" s="60">
        <v>20</v>
      </c>
      <c r="J23" s="60">
        <v>20</v>
      </c>
      <c r="K23" s="60">
        <v>20</v>
      </c>
      <c r="L23" s="60">
        <v>20</v>
      </c>
      <c r="M23" s="60">
        <v>20</v>
      </c>
      <c r="N23" s="60">
        <v>20</v>
      </c>
      <c r="O23" s="15">
        <f>+SUMPRODUCT(C23:N23,C$5:N$5)/SUM(C$5:N$5)</f>
        <v>19.999999999999996</v>
      </c>
      <c r="P23" s="60">
        <v>20</v>
      </c>
      <c r="Q23" s="60">
        <v>20</v>
      </c>
      <c r="R23" s="60">
        <v>20</v>
      </c>
      <c r="S23" s="60">
        <v>20</v>
      </c>
      <c r="T23" s="60">
        <v>20</v>
      </c>
      <c r="U23" s="60">
        <v>20</v>
      </c>
      <c r="V23" s="60">
        <v>20</v>
      </c>
      <c r="W23" s="60">
        <v>20</v>
      </c>
      <c r="X23" s="60">
        <v>20</v>
      </c>
      <c r="Y23" s="60">
        <v>20</v>
      </c>
      <c r="Z23" s="60">
        <v>20</v>
      </c>
      <c r="AA23" s="60">
        <v>20</v>
      </c>
      <c r="AB23" s="15">
        <f>+SUMPRODUCT(P23:AA23,P$5:AA$5)/SUM(P$5:AA$5)</f>
        <v>19.999999999999996</v>
      </c>
      <c r="AC23" s="60">
        <v>20</v>
      </c>
      <c r="AD23" s="60">
        <v>20</v>
      </c>
      <c r="AE23" s="60">
        <v>20</v>
      </c>
      <c r="AF23" s="60">
        <v>20</v>
      </c>
      <c r="AG23" s="15">
        <f>+SUMPRODUCT(AC23:AF23,AC$5:AF$5)/SUM(AC$5:AF$5)</f>
        <v>20</v>
      </c>
      <c r="AH23" s="60">
        <v>20</v>
      </c>
    </row>
    <row r="24" spans="1:34" x14ac:dyDescent="0.3">
      <c r="A24" s="58" t="s">
        <v>61</v>
      </c>
      <c r="B24" s="11" t="s">
        <v>57</v>
      </c>
      <c r="C24" s="60">
        <v>20</v>
      </c>
      <c r="D24" s="60">
        <v>20</v>
      </c>
      <c r="E24" s="60">
        <v>20</v>
      </c>
      <c r="F24" s="60">
        <v>20</v>
      </c>
      <c r="G24" s="60">
        <v>20</v>
      </c>
      <c r="H24" s="60">
        <v>20</v>
      </c>
      <c r="I24" s="60">
        <v>20</v>
      </c>
      <c r="J24" s="60">
        <v>20</v>
      </c>
      <c r="K24" s="60">
        <v>20</v>
      </c>
      <c r="L24" s="60">
        <v>20</v>
      </c>
      <c r="M24" s="60">
        <v>20</v>
      </c>
      <c r="N24" s="60">
        <v>20</v>
      </c>
      <c r="O24" s="15">
        <f t="shared" ref="O24" si="19">+SUMPRODUCT(C24:N24,C$5:N$5)/SUM(C$5:N$5)</f>
        <v>19.999999999999996</v>
      </c>
      <c r="P24" s="60">
        <v>20</v>
      </c>
      <c r="Q24" s="60">
        <v>20</v>
      </c>
      <c r="R24" s="60">
        <v>20</v>
      </c>
      <c r="S24" s="60">
        <v>20</v>
      </c>
      <c r="T24" s="60">
        <v>20</v>
      </c>
      <c r="U24" s="60">
        <v>20</v>
      </c>
      <c r="V24" s="60">
        <v>20</v>
      </c>
      <c r="W24" s="60">
        <v>20</v>
      </c>
      <c r="X24" s="60">
        <v>20</v>
      </c>
      <c r="Y24" s="60">
        <v>20</v>
      </c>
      <c r="Z24" s="60">
        <v>20</v>
      </c>
      <c r="AA24" s="60">
        <v>20</v>
      </c>
      <c r="AB24" s="15">
        <f t="shared" ref="AB24" si="20">+SUMPRODUCT(P24:AA24,P$5:AA$5)/SUM(P$5:AA$5)</f>
        <v>19.999999999999996</v>
      </c>
      <c r="AC24" s="60">
        <v>20</v>
      </c>
      <c r="AD24" s="60">
        <v>20</v>
      </c>
      <c r="AE24" s="60">
        <v>20</v>
      </c>
      <c r="AF24" s="60">
        <v>20</v>
      </c>
      <c r="AG24" s="15">
        <f>+SUMPRODUCT(AC24:AF24,AC$5:AF$5)/SUM(AC$5:AF$5)</f>
        <v>20</v>
      </c>
      <c r="AH24" s="60">
        <v>20</v>
      </c>
    </row>
    <row r="25" spans="1:34" x14ac:dyDescent="0.3">
      <c r="O25" s="61"/>
      <c r="AB25" s="61"/>
      <c r="AG25" s="61"/>
    </row>
    <row r="26" spans="1:34" x14ac:dyDescent="0.3">
      <c r="A26" s="58" t="s">
        <v>62</v>
      </c>
      <c r="B26" s="11" t="s">
        <v>55</v>
      </c>
      <c r="C26" s="16">
        <f>+C14*C6*C$3*24</f>
        <v>0</v>
      </c>
      <c r="D26" s="16">
        <f t="shared" ref="D26:N26" si="21">+D14*D6*D$3*24</f>
        <v>0</v>
      </c>
      <c r="E26" s="16">
        <f t="shared" si="21"/>
        <v>0</v>
      </c>
      <c r="F26" s="16">
        <f t="shared" si="21"/>
        <v>0</v>
      </c>
      <c r="G26" s="16">
        <f t="shared" si="21"/>
        <v>0</v>
      </c>
      <c r="H26" s="16">
        <f t="shared" si="21"/>
        <v>0</v>
      </c>
      <c r="I26" s="16">
        <f t="shared" si="21"/>
        <v>0</v>
      </c>
      <c r="J26" s="16">
        <f t="shared" si="21"/>
        <v>0</v>
      </c>
      <c r="K26" s="16">
        <f t="shared" si="21"/>
        <v>0</v>
      </c>
      <c r="L26" s="16">
        <f t="shared" si="21"/>
        <v>0</v>
      </c>
      <c r="M26" s="16">
        <f t="shared" si="21"/>
        <v>0</v>
      </c>
      <c r="N26" s="16">
        <f t="shared" si="21"/>
        <v>0</v>
      </c>
      <c r="O26" s="17">
        <f>SUM(C26:N26)</f>
        <v>0</v>
      </c>
      <c r="P26" s="16">
        <f t="shared" ref="P26:AA28" si="22">+P14*P6*P$3*24</f>
        <v>283.58476189561253</v>
      </c>
      <c r="Q26" s="16">
        <f t="shared" si="22"/>
        <v>284.98796537837507</v>
      </c>
      <c r="R26" s="16">
        <f t="shared" si="22"/>
        <v>278.67912552431244</v>
      </c>
      <c r="S26" s="16">
        <f t="shared" si="22"/>
        <v>274.57916791049627</v>
      </c>
      <c r="T26" s="16">
        <f t="shared" si="22"/>
        <v>274.57916791049627</v>
      </c>
      <c r="U26" s="16">
        <f t="shared" si="22"/>
        <v>274.57916791049627</v>
      </c>
      <c r="V26" s="16">
        <f t="shared" si="22"/>
        <v>267.96190338404836</v>
      </c>
      <c r="W26" s="16">
        <f t="shared" si="22"/>
        <v>267.96190338404836</v>
      </c>
      <c r="X26" s="16">
        <f t="shared" si="22"/>
        <v>242.96190338404847</v>
      </c>
      <c r="Y26" s="16">
        <f t="shared" si="22"/>
        <v>252.83079528546335</v>
      </c>
      <c r="Z26" s="16">
        <f t="shared" si="22"/>
        <v>252.83079528546335</v>
      </c>
      <c r="AA26" s="16">
        <f t="shared" si="22"/>
        <v>252.83079528546335</v>
      </c>
      <c r="AB26" s="17">
        <f t="shared" ref="AB26:AB28" si="23">SUM(P26:AA26)</f>
        <v>3208.3674525383244</v>
      </c>
      <c r="AC26" s="16">
        <f t="shared" ref="AC26:AF28" si="24">+AC14*AC6*AC$3*24</f>
        <v>744.09406825581743</v>
      </c>
      <c r="AD26" s="16">
        <f t="shared" si="24"/>
        <v>744.23884786457165</v>
      </c>
      <c r="AE26" s="16">
        <f t="shared" si="24"/>
        <v>762.65757938546733</v>
      </c>
      <c r="AF26" s="16">
        <f t="shared" si="24"/>
        <v>793.04156408601921</v>
      </c>
      <c r="AG26" s="17">
        <f>SUM(AC26:AF26)</f>
        <v>3044.0320595918756</v>
      </c>
      <c r="AH26" s="16">
        <f t="shared" ref="AH26:AH28" si="25">+AH14*AH6*AH$3*24</f>
        <v>0</v>
      </c>
    </row>
    <row r="27" spans="1:34" x14ac:dyDescent="0.3">
      <c r="A27" s="58" t="s">
        <v>62</v>
      </c>
      <c r="B27" s="11" t="s">
        <v>56</v>
      </c>
      <c r="C27" s="16">
        <f t="shared" ref="C27:N28" si="26">+C15*C7*C$3*24</f>
        <v>126.18815080523481</v>
      </c>
      <c r="D27" s="16">
        <f t="shared" si="26"/>
        <v>53.547904753684996</v>
      </c>
      <c r="E27" s="16">
        <f t="shared" si="26"/>
        <v>52.294128924607996</v>
      </c>
      <c r="F27" s="16">
        <f t="shared" si="26"/>
        <v>109.55269949734199</v>
      </c>
      <c r="G27" s="16">
        <f t="shared" si="26"/>
        <v>203.23457226753254</v>
      </c>
      <c r="H27" s="16">
        <f t="shared" si="26"/>
        <v>186.181688219309</v>
      </c>
      <c r="I27" s="16">
        <f t="shared" si="26"/>
        <v>220.69828226789849</v>
      </c>
      <c r="J27" s="16">
        <f t="shared" si="26"/>
        <v>115.72197987139201</v>
      </c>
      <c r="K27" s="16">
        <f t="shared" si="26"/>
        <v>112.4</v>
      </c>
      <c r="L27" s="16">
        <f t="shared" si="26"/>
        <v>190.38235925287</v>
      </c>
      <c r="M27" s="16">
        <f t="shared" si="26"/>
        <v>233.33966323779899</v>
      </c>
      <c r="N27" s="16">
        <f t="shared" si="26"/>
        <v>273.34893287271257</v>
      </c>
      <c r="O27" s="17">
        <f>SUM(C27:N27)</f>
        <v>1876.8903619703833</v>
      </c>
      <c r="P27" s="16">
        <f t="shared" si="22"/>
        <v>147.2190114870665</v>
      </c>
      <c r="Q27" s="16">
        <f t="shared" si="22"/>
        <v>254.58321610242152</v>
      </c>
      <c r="R27" s="16">
        <f t="shared" si="22"/>
        <v>196.14548946917097</v>
      </c>
      <c r="S27" s="16">
        <f t="shared" si="22"/>
        <v>272.74553473277501</v>
      </c>
      <c r="T27" s="16">
        <f t="shared" si="22"/>
        <v>272.74553473277507</v>
      </c>
      <c r="U27" s="16">
        <f t="shared" si="22"/>
        <v>272.74553473277501</v>
      </c>
      <c r="V27" s="16">
        <f t="shared" si="22"/>
        <v>282.46288258984168</v>
      </c>
      <c r="W27" s="16">
        <f t="shared" si="22"/>
        <v>282.46288258984168</v>
      </c>
      <c r="X27" s="16">
        <f t="shared" si="22"/>
        <v>232.46288258984148</v>
      </c>
      <c r="Y27" s="16">
        <f t="shared" si="22"/>
        <v>285.91912816012666</v>
      </c>
      <c r="Z27" s="16">
        <f t="shared" si="22"/>
        <v>285.91912816012666</v>
      </c>
      <c r="AA27" s="16">
        <f t="shared" si="22"/>
        <v>285.91912816012666</v>
      </c>
      <c r="AB27" s="17">
        <f t="shared" si="23"/>
        <v>3071.3303535068885</v>
      </c>
      <c r="AC27" s="16">
        <f t="shared" si="24"/>
        <v>744.09406825581755</v>
      </c>
      <c r="AD27" s="16">
        <f t="shared" si="24"/>
        <v>744.23884786457154</v>
      </c>
      <c r="AE27" s="16">
        <f t="shared" si="24"/>
        <v>762.65757938546733</v>
      </c>
      <c r="AF27" s="16">
        <f t="shared" si="24"/>
        <v>793.04156408601943</v>
      </c>
      <c r="AG27" s="17">
        <f t="shared" ref="AG27:AG28" si="27">SUM(AC27:AF27)</f>
        <v>3044.0320595918756</v>
      </c>
      <c r="AH27" s="16">
        <f t="shared" si="25"/>
        <v>417.61862338865967</v>
      </c>
    </row>
    <row r="28" spans="1:34" x14ac:dyDescent="0.3">
      <c r="A28" s="58" t="s">
        <v>62</v>
      </c>
      <c r="B28" s="11" t="s">
        <v>57</v>
      </c>
      <c r="C28" s="16">
        <f t="shared" si="26"/>
        <v>168.54612376689917</v>
      </c>
      <c r="D28" s="16">
        <f t="shared" si="26"/>
        <v>158.11929769986099</v>
      </c>
      <c r="E28" s="16">
        <f t="shared" si="26"/>
        <v>149.39306034237148</v>
      </c>
      <c r="F28" s="16">
        <f t="shared" si="26"/>
        <v>151.60765794627406</v>
      </c>
      <c r="G28" s="16">
        <f t="shared" si="26"/>
        <v>213.50324623236398</v>
      </c>
      <c r="H28" s="16">
        <f t="shared" si="26"/>
        <v>219.22158281356053</v>
      </c>
      <c r="I28" s="16">
        <f t="shared" si="26"/>
        <v>251.59397479239797</v>
      </c>
      <c r="J28" s="16">
        <f t="shared" si="26"/>
        <v>157.38463642434246</v>
      </c>
      <c r="K28" s="16">
        <f t="shared" si="26"/>
        <v>304.83290221542103</v>
      </c>
      <c r="L28" s="16">
        <f t="shared" si="26"/>
        <v>208.09737860262399</v>
      </c>
      <c r="M28" s="16">
        <f t="shared" si="26"/>
        <v>237.91599687961849</v>
      </c>
      <c r="N28" s="16">
        <f t="shared" si="26"/>
        <v>213.42446503937254</v>
      </c>
      <c r="O28" s="17">
        <f>SUM(C28:N28)</f>
        <v>2433.6403227551068</v>
      </c>
      <c r="P28" s="16">
        <f t="shared" si="22"/>
        <v>283.58476189561253</v>
      </c>
      <c r="Q28" s="16">
        <f t="shared" si="22"/>
        <v>284.98796537837501</v>
      </c>
      <c r="R28" s="16">
        <f t="shared" si="22"/>
        <v>278.6791255243125</v>
      </c>
      <c r="S28" s="16">
        <f t="shared" si="22"/>
        <v>274.57916791049621</v>
      </c>
      <c r="T28" s="16">
        <f t="shared" si="22"/>
        <v>274.57916791049621</v>
      </c>
      <c r="U28" s="16">
        <f t="shared" si="22"/>
        <v>224.57916791049601</v>
      </c>
      <c r="V28" s="16">
        <f t="shared" si="22"/>
        <v>267.9619033840483</v>
      </c>
      <c r="W28" s="16">
        <f t="shared" si="22"/>
        <v>267.96190338404836</v>
      </c>
      <c r="X28" s="16">
        <f t="shared" si="22"/>
        <v>267.9619033840483</v>
      </c>
      <c r="Y28" s="16">
        <f t="shared" si="22"/>
        <v>252.83079528546335</v>
      </c>
      <c r="Z28" s="16">
        <f t="shared" si="22"/>
        <v>252.83079528546335</v>
      </c>
      <c r="AA28" s="16">
        <f t="shared" si="22"/>
        <v>277.83079528546352</v>
      </c>
      <c r="AB28" s="17">
        <f t="shared" si="23"/>
        <v>3208.3674525383235</v>
      </c>
      <c r="AC28" s="16">
        <f t="shared" si="24"/>
        <v>808.38009053766768</v>
      </c>
      <c r="AD28" s="16">
        <f t="shared" si="24"/>
        <v>610.16345533613344</v>
      </c>
      <c r="AE28" s="16">
        <f t="shared" si="24"/>
        <v>617.69999999999993</v>
      </c>
      <c r="AF28" s="16">
        <f t="shared" si="24"/>
        <v>301.09999999999997</v>
      </c>
      <c r="AG28" s="17">
        <f t="shared" si="27"/>
        <v>2337.3435458738008</v>
      </c>
      <c r="AH28" s="16">
        <f t="shared" si="25"/>
        <v>0</v>
      </c>
    </row>
    <row r="30" spans="1:34" x14ac:dyDescent="0.3">
      <c r="A30" s="58" t="s">
        <v>63</v>
      </c>
      <c r="B30" s="11" t="s">
        <v>55</v>
      </c>
      <c r="C30" s="16">
        <f>+C22*C26</f>
        <v>0</v>
      </c>
      <c r="D30" s="16">
        <f t="shared" ref="D30:N32" si="28">+D22*D26</f>
        <v>0</v>
      </c>
      <c r="E30" s="16">
        <f t="shared" si="28"/>
        <v>0</v>
      </c>
      <c r="F30" s="16">
        <f t="shared" si="28"/>
        <v>0</v>
      </c>
      <c r="G30" s="16">
        <f t="shared" si="28"/>
        <v>0</v>
      </c>
      <c r="H30" s="16">
        <f t="shared" si="28"/>
        <v>0</v>
      </c>
      <c r="I30" s="16">
        <f t="shared" si="28"/>
        <v>0</v>
      </c>
      <c r="J30" s="16">
        <f>+J22*J26</f>
        <v>0</v>
      </c>
      <c r="K30" s="16">
        <f t="shared" si="28"/>
        <v>0</v>
      </c>
      <c r="L30" s="16">
        <f t="shared" si="28"/>
        <v>0</v>
      </c>
      <c r="M30" s="16">
        <f t="shared" si="28"/>
        <v>0</v>
      </c>
      <c r="N30" s="16">
        <f t="shared" si="28"/>
        <v>0</v>
      </c>
      <c r="O30" s="17">
        <f>SUM(C30:N30)</f>
        <v>0</v>
      </c>
      <c r="P30" s="16">
        <f>+P22*P26</f>
        <v>5671.6952379122504</v>
      </c>
      <c r="Q30" s="16">
        <f t="shared" ref="Q30:AA32" si="29">+Q22*Q26</f>
        <v>5699.7593075675013</v>
      </c>
      <c r="R30" s="16">
        <f t="shared" si="29"/>
        <v>5573.5825104862488</v>
      </c>
      <c r="S30" s="16">
        <f t="shared" si="29"/>
        <v>5491.5833582099258</v>
      </c>
      <c r="T30" s="16">
        <f t="shared" si="29"/>
        <v>5491.5833582099258</v>
      </c>
      <c r="U30" s="16">
        <f t="shared" si="29"/>
        <v>5491.5833582099258</v>
      </c>
      <c r="V30" s="16">
        <f t="shared" si="29"/>
        <v>5359.2380676809671</v>
      </c>
      <c r="W30" s="16">
        <f t="shared" si="29"/>
        <v>5359.2380676809671</v>
      </c>
      <c r="X30" s="16">
        <f t="shared" si="29"/>
        <v>4859.2380676809698</v>
      </c>
      <c r="Y30" s="16">
        <f t="shared" si="29"/>
        <v>5056.6159057092673</v>
      </c>
      <c r="Z30" s="16">
        <f t="shared" si="29"/>
        <v>5056.6159057092673</v>
      </c>
      <c r="AA30" s="16">
        <f t="shared" si="29"/>
        <v>5056.6159057092673</v>
      </c>
      <c r="AB30" s="17">
        <f>SUM(P30:AA30)</f>
        <v>64167.34905076649</v>
      </c>
      <c r="AC30" s="16">
        <f t="shared" ref="AC30:AF32" si="30">+AC22*AC26</f>
        <v>14881.881365116349</v>
      </c>
      <c r="AD30" s="16">
        <f t="shared" si="30"/>
        <v>14884.776957291433</v>
      </c>
      <c r="AE30" s="16">
        <f t="shared" si="30"/>
        <v>15253.151587709346</v>
      </c>
      <c r="AF30" s="16">
        <f t="shared" si="30"/>
        <v>15860.831281720384</v>
      </c>
      <c r="AG30" s="17">
        <f>SUM(AC30:AF30)</f>
        <v>60880.641191837516</v>
      </c>
      <c r="AH30" s="16">
        <f t="shared" ref="AH30:AH32" si="31">+AH22*AH26</f>
        <v>0</v>
      </c>
    </row>
    <row r="31" spans="1:34" x14ac:dyDescent="0.3">
      <c r="A31" s="58" t="s">
        <v>63</v>
      </c>
      <c r="B31" s="11" t="s">
        <v>56</v>
      </c>
      <c r="C31" s="16">
        <f>+C23*C27</f>
        <v>2523.7630161046964</v>
      </c>
      <c r="D31" s="16">
        <f t="shared" si="28"/>
        <v>1070.9580950737</v>
      </c>
      <c r="E31" s="16">
        <f t="shared" si="28"/>
        <v>1045.8825784921598</v>
      </c>
      <c r="F31" s="16">
        <f t="shared" si="28"/>
        <v>2191.0539899468399</v>
      </c>
      <c r="G31" s="16">
        <f t="shared" si="28"/>
        <v>4064.6914453506506</v>
      </c>
      <c r="H31" s="16">
        <f t="shared" si="28"/>
        <v>3723.6337643861798</v>
      </c>
      <c r="I31" s="16">
        <f t="shared" si="28"/>
        <v>4413.9656453579701</v>
      </c>
      <c r="J31" s="16">
        <f>+J23*J27</f>
        <v>2314.43959742784</v>
      </c>
      <c r="K31" s="16">
        <f t="shared" si="28"/>
        <v>2248</v>
      </c>
      <c r="L31" s="16">
        <f t="shared" si="28"/>
        <v>3807.6471850573998</v>
      </c>
      <c r="M31" s="16">
        <f t="shared" si="28"/>
        <v>4666.7932647559801</v>
      </c>
      <c r="N31" s="16">
        <f t="shared" si="28"/>
        <v>5466.9786574542513</v>
      </c>
      <c r="O31" s="17">
        <f>SUM(C31:N31)</f>
        <v>37537.807239407666</v>
      </c>
      <c r="P31" s="16">
        <f>+P23*P27</f>
        <v>2944.3802297413299</v>
      </c>
      <c r="Q31" s="16">
        <f t="shared" si="29"/>
        <v>5091.6643220484302</v>
      </c>
      <c r="R31" s="16">
        <f t="shared" si="29"/>
        <v>3922.9097893834196</v>
      </c>
      <c r="S31" s="16">
        <f t="shared" si="29"/>
        <v>5454.9106946555003</v>
      </c>
      <c r="T31" s="16">
        <f t="shared" si="29"/>
        <v>5454.9106946555012</v>
      </c>
      <c r="U31" s="16">
        <f t="shared" si="29"/>
        <v>5454.9106946555003</v>
      </c>
      <c r="V31" s="16">
        <f t="shared" si="29"/>
        <v>5649.2576517968337</v>
      </c>
      <c r="W31" s="16">
        <f t="shared" si="29"/>
        <v>5649.2576517968337</v>
      </c>
      <c r="X31" s="16">
        <f t="shared" si="29"/>
        <v>4649.25765179683</v>
      </c>
      <c r="Y31" s="16">
        <f t="shared" si="29"/>
        <v>5718.3825632025328</v>
      </c>
      <c r="Z31" s="16">
        <f t="shared" si="29"/>
        <v>5718.3825632025328</v>
      </c>
      <c r="AA31" s="16">
        <f t="shared" si="29"/>
        <v>5718.3825632025328</v>
      </c>
      <c r="AB31" s="17">
        <f t="shared" ref="AB31:AB33" si="32">SUM(P31:AA31)</f>
        <v>61426.607070137783</v>
      </c>
      <c r="AC31" s="16">
        <f t="shared" si="30"/>
        <v>14881.881365116351</v>
      </c>
      <c r="AD31" s="16">
        <f t="shared" si="30"/>
        <v>14884.776957291431</v>
      </c>
      <c r="AE31" s="16">
        <f t="shared" si="30"/>
        <v>15253.151587709346</v>
      </c>
      <c r="AF31" s="16">
        <f t="shared" si="30"/>
        <v>15860.831281720388</v>
      </c>
      <c r="AG31" s="17">
        <f t="shared" ref="AG31:AG33" si="33">SUM(AC31:AF31)</f>
        <v>60880.641191837523</v>
      </c>
      <c r="AH31" s="16">
        <f t="shared" si="31"/>
        <v>8352.3724677731934</v>
      </c>
    </row>
    <row r="32" spans="1:34" x14ac:dyDescent="0.3">
      <c r="A32" s="58" t="s">
        <v>63</v>
      </c>
      <c r="B32" s="11" t="s">
        <v>57</v>
      </c>
      <c r="C32" s="16">
        <f>+C24*C28</f>
        <v>3370.9224753379835</v>
      </c>
      <c r="D32" s="16">
        <f t="shared" si="28"/>
        <v>3162.38595399722</v>
      </c>
      <c r="E32" s="16">
        <f t="shared" si="28"/>
        <v>2987.8612068474295</v>
      </c>
      <c r="F32" s="16">
        <f t="shared" si="28"/>
        <v>3032.153158925481</v>
      </c>
      <c r="G32" s="16">
        <f t="shared" si="28"/>
        <v>4270.0649246472794</v>
      </c>
      <c r="H32" s="16">
        <f t="shared" si="28"/>
        <v>4384.4316562712102</v>
      </c>
      <c r="I32" s="16">
        <f t="shared" si="28"/>
        <v>5031.8794958479593</v>
      </c>
      <c r="J32" s="16">
        <f>+J24*J28</f>
        <v>3147.6927284868493</v>
      </c>
      <c r="K32" s="16">
        <f t="shared" si="28"/>
        <v>6096.6580443084204</v>
      </c>
      <c r="L32" s="16">
        <f t="shared" si="28"/>
        <v>4161.9475720524797</v>
      </c>
      <c r="M32" s="16">
        <f t="shared" si="28"/>
        <v>4758.3199375923696</v>
      </c>
      <c r="N32" s="16">
        <f t="shared" si="28"/>
        <v>4268.4893007874507</v>
      </c>
      <c r="O32" s="17">
        <f t="shared" ref="O32" si="34">SUM(C32:N32)</f>
        <v>48672.806455102131</v>
      </c>
      <c r="P32" s="16">
        <f>+P24*P28</f>
        <v>5671.6952379122504</v>
      </c>
      <c r="Q32" s="16">
        <f t="shared" si="29"/>
        <v>5699.7593075675004</v>
      </c>
      <c r="R32" s="16">
        <f t="shared" si="29"/>
        <v>5573.5825104862497</v>
      </c>
      <c r="S32" s="16">
        <f t="shared" si="29"/>
        <v>5491.583358209924</v>
      </c>
      <c r="T32" s="16">
        <f t="shared" si="29"/>
        <v>5491.583358209924</v>
      </c>
      <c r="U32" s="16">
        <f t="shared" si="29"/>
        <v>4491.5833582099203</v>
      </c>
      <c r="V32" s="16">
        <f t="shared" si="29"/>
        <v>5359.2380676809662</v>
      </c>
      <c r="W32" s="16">
        <f t="shared" si="29"/>
        <v>5359.2380676809671</v>
      </c>
      <c r="X32" s="16">
        <f t="shared" si="29"/>
        <v>5359.2380676809662</v>
      </c>
      <c r="Y32" s="16">
        <f t="shared" si="29"/>
        <v>5056.6159057092673</v>
      </c>
      <c r="Z32" s="16">
        <f t="shared" si="29"/>
        <v>5056.6159057092673</v>
      </c>
      <c r="AA32" s="16">
        <f t="shared" si="29"/>
        <v>5556.61590570927</v>
      </c>
      <c r="AB32" s="17">
        <f t="shared" si="32"/>
        <v>64167.349050766483</v>
      </c>
      <c r="AC32" s="16">
        <f t="shared" si="30"/>
        <v>16167.601810753353</v>
      </c>
      <c r="AD32" s="16">
        <f t="shared" si="30"/>
        <v>12203.26910672267</v>
      </c>
      <c r="AE32" s="16">
        <f t="shared" si="30"/>
        <v>12353.999999999998</v>
      </c>
      <c r="AF32" s="16">
        <f t="shared" si="30"/>
        <v>6021.9999999999991</v>
      </c>
      <c r="AG32" s="17">
        <f t="shared" si="33"/>
        <v>46746.870917476022</v>
      </c>
      <c r="AH32" s="16">
        <f t="shared" si="31"/>
        <v>0</v>
      </c>
    </row>
    <row r="33" spans="1:82" x14ac:dyDescent="0.3">
      <c r="A33" s="58" t="s">
        <v>63</v>
      </c>
      <c r="B33" s="11" t="s">
        <v>64</v>
      </c>
      <c r="C33" s="16">
        <f t="shared" ref="C33:N33" si="35">SUM(C30:C32)</f>
        <v>5894.6854914426804</v>
      </c>
      <c r="D33" s="16">
        <f t="shared" si="35"/>
        <v>4233.3440490709199</v>
      </c>
      <c r="E33" s="16">
        <f t="shared" si="35"/>
        <v>4033.7437853395895</v>
      </c>
      <c r="F33" s="16">
        <f t="shared" si="35"/>
        <v>5223.2071488723213</v>
      </c>
      <c r="G33" s="16">
        <f t="shared" si="35"/>
        <v>8334.7563699979291</v>
      </c>
      <c r="H33" s="16">
        <f t="shared" si="35"/>
        <v>8108.06542065739</v>
      </c>
      <c r="I33" s="16">
        <f t="shared" si="35"/>
        <v>9445.8451412059294</v>
      </c>
      <c r="J33" s="16">
        <f t="shared" si="35"/>
        <v>5462.1323259146893</v>
      </c>
      <c r="K33" s="16">
        <f t="shared" si="35"/>
        <v>8344.6580443084204</v>
      </c>
      <c r="L33" s="16">
        <f t="shared" si="35"/>
        <v>7969.5947571098795</v>
      </c>
      <c r="M33" s="16">
        <f t="shared" si="35"/>
        <v>9425.1132023483497</v>
      </c>
      <c r="N33" s="16">
        <f t="shared" si="35"/>
        <v>9735.4679582417011</v>
      </c>
      <c r="O33" s="17">
        <f>SUM(C33:N33)</f>
        <v>86210.613694509797</v>
      </c>
      <c r="P33" s="16">
        <f t="shared" ref="P33:AA33" si="36">SUM(P30:P32)</f>
        <v>14287.77070556583</v>
      </c>
      <c r="Q33" s="16">
        <f t="shared" si="36"/>
        <v>16491.182937183432</v>
      </c>
      <c r="R33" s="16">
        <f t="shared" si="36"/>
        <v>15070.074810355916</v>
      </c>
      <c r="S33" s="16">
        <f t="shared" si="36"/>
        <v>16438.077411075348</v>
      </c>
      <c r="T33" s="16">
        <f t="shared" si="36"/>
        <v>16438.077411075348</v>
      </c>
      <c r="U33" s="16">
        <f t="shared" si="36"/>
        <v>15438.077411075346</v>
      </c>
      <c r="V33" s="16">
        <f t="shared" si="36"/>
        <v>16367.733787158766</v>
      </c>
      <c r="W33" s="16">
        <f t="shared" si="36"/>
        <v>16367.733787158766</v>
      </c>
      <c r="X33" s="16">
        <f t="shared" si="36"/>
        <v>14867.733787158766</v>
      </c>
      <c r="Y33" s="16">
        <f t="shared" si="36"/>
        <v>15831.614374621066</v>
      </c>
      <c r="Z33" s="16">
        <f t="shared" si="36"/>
        <v>15831.614374621066</v>
      </c>
      <c r="AA33" s="16">
        <f t="shared" si="36"/>
        <v>16331.614374621069</v>
      </c>
      <c r="AB33" s="17">
        <f t="shared" si="32"/>
        <v>189761.30517167074</v>
      </c>
      <c r="AC33" s="16">
        <f t="shared" ref="AC33:AF33" si="37">SUM(AC30:AC32)</f>
        <v>45931.364540986055</v>
      </c>
      <c r="AD33" s="16">
        <f t="shared" si="37"/>
        <v>41972.823021305536</v>
      </c>
      <c r="AE33" s="16">
        <f t="shared" si="37"/>
        <v>42860.303175418689</v>
      </c>
      <c r="AF33" s="16">
        <f t="shared" si="37"/>
        <v>37743.662563440768</v>
      </c>
      <c r="AG33" s="17">
        <f t="shared" si="33"/>
        <v>168508.15330115106</v>
      </c>
      <c r="AH33" s="16">
        <f t="shared" ref="AH33" si="38">SUM(AH30:AH32)</f>
        <v>8352.3724677731934</v>
      </c>
    </row>
    <row r="34" spans="1:82" x14ac:dyDescent="0.3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</row>
    <row r="35" spans="1:82" x14ac:dyDescent="0.3">
      <c r="B35" s="29" t="s">
        <v>201</v>
      </c>
      <c r="C35" s="57" t="s">
        <v>0</v>
      </c>
      <c r="D35" s="57" t="s">
        <v>0</v>
      </c>
      <c r="E35" s="57" t="s">
        <v>0</v>
      </c>
      <c r="F35" s="57" t="s">
        <v>0</v>
      </c>
      <c r="G35" s="57" t="s">
        <v>0</v>
      </c>
      <c r="H35" s="57" t="s">
        <v>0</v>
      </c>
      <c r="I35" s="57" t="s">
        <v>0</v>
      </c>
      <c r="J35" s="57" t="s">
        <v>0</v>
      </c>
      <c r="K35" s="57" t="s">
        <v>0</v>
      </c>
      <c r="L35" s="57" t="s">
        <v>0</v>
      </c>
      <c r="M35" s="57" t="s">
        <v>0</v>
      </c>
      <c r="N35" s="57" t="s">
        <v>0</v>
      </c>
      <c r="O35" s="10" t="s">
        <v>1</v>
      </c>
      <c r="P35" s="57" t="s">
        <v>2</v>
      </c>
      <c r="Q35" s="57" t="s">
        <v>2</v>
      </c>
      <c r="R35" s="57" t="s">
        <v>2</v>
      </c>
      <c r="S35" s="57" t="s">
        <v>2</v>
      </c>
      <c r="T35" s="57" t="s">
        <v>2</v>
      </c>
      <c r="U35" s="57" t="s">
        <v>2</v>
      </c>
      <c r="V35" s="57" t="s">
        <v>2</v>
      </c>
      <c r="W35" s="57" t="s">
        <v>2</v>
      </c>
      <c r="X35" s="57" t="s">
        <v>2</v>
      </c>
      <c r="Y35" s="57" t="s">
        <v>2</v>
      </c>
      <c r="Z35" s="57" t="s">
        <v>2</v>
      </c>
      <c r="AA35" s="57" t="s">
        <v>2</v>
      </c>
      <c r="AB35" s="57" t="s">
        <v>3</v>
      </c>
      <c r="AC35" s="57" t="s">
        <v>4</v>
      </c>
      <c r="AD35" s="57" t="s">
        <v>4</v>
      </c>
      <c r="AE35" s="57" t="s">
        <v>4</v>
      </c>
      <c r="AF35" s="57" t="s">
        <v>4</v>
      </c>
      <c r="AG35" s="57" t="s">
        <v>5</v>
      </c>
      <c r="AH35" s="46" t="s">
        <v>6</v>
      </c>
    </row>
    <row r="36" spans="1:82" x14ac:dyDescent="0.3">
      <c r="B36" s="29" t="s">
        <v>211</v>
      </c>
      <c r="C36" s="9" t="s">
        <v>39</v>
      </c>
      <c r="D36" s="9" t="s">
        <v>40</v>
      </c>
      <c r="E36" s="9" t="s">
        <v>41</v>
      </c>
      <c r="F36" s="9" t="s">
        <v>42</v>
      </c>
      <c r="G36" s="9" t="s">
        <v>43</v>
      </c>
      <c r="H36" s="9" t="s">
        <v>44</v>
      </c>
      <c r="I36" s="9" t="s">
        <v>45</v>
      </c>
      <c r="J36" s="9" t="s">
        <v>46</v>
      </c>
      <c r="K36" s="9" t="s">
        <v>47</v>
      </c>
      <c r="L36" s="9" t="s">
        <v>48</v>
      </c>
      <c r="M36" s="9" t="s">
        <v>49</v>
      </c>
      <c r="N36" s="9" t="s">
        <v>50</v>
      </c>
      <c r="O36" s="10" t="s">
        <v>1</v>
      </c>
      <c r="P36" s="9" t="s">
        <v>39</v>
      </c>
      <c r="Q36" s="9" t="s">
        <v>40</v>
      </c>
      <c r="R36" s="9" t="s">
        <v>41</v>
      </c>
      <c r="S36" s="9" t="s">
        <v>42</v>
      </c>
      <c r="T36" s="9" t="s">
        <v>43</v>
      </c>
      <c r="U36" s="9" t="s">
        <v>44</v>
      </c>
      <c r="V36" s="9" t="s">
        <v>45</v>
      </c>
      <c r="W36" s="9" t="s">
        <v>46</v>
      </c>
      <c r="X36" s="9" t="s">
        <v>47</v>
      </c>
      <c r="Y36" s="9" t="s">
        <v>48</v>
      </c>
      <c r="Z36" s="9" t="s">
        <v>49</v>
      </c>
      <c r="AA36" s="9" t="s">
        <v>50</v>
      </c>
      <c r="AB36" s="10" t="s">
        <v>3</v>
      </c>
      <c r="AC36" s="9" t="s">
        <v>185</v>
      </c>
      <c r="AD36" s="9" t="s">
        <v>187</v>
      </c>
      <c r="AE36" s="9" t="s">
        <v>188</v>
      </c>
      <c r="AF36" s="9" t="s">
        <v>189</v>
      </c>
      <c r="AG36" s="10" t="s">
        <v>5</v>
      </c>
      <c r="AH36" s="9" t="s">
        <v>186</v>
      </c>
    </row>
    <row r="37" spans="1:82" x14ac:dyDescent="0.3">
      <c r="B37" s="21" t="s">
        <v>51</v>
      </c>
      <c r="C37" s="22">
        <v>31</v>
      </c>
      <c r="D37" s="22">
        <v>28</v>
      </c>
      <c r="E37" s="22">
        <v>31</v>
      </c>
      <c r="F37" s="22">
        <v>30</v>
      </c>
      <c r="G37" s="22">
        <v>31</v>
      </c>
      <c r="H37" s="22">
        <v>30</v>
      </c>
      <c r="I37" s="22">
        <v>31</v>
      </c>
      <c r="J37" s="22">
        <v>31</v>
      </c>
      <c r="K37" s="22">
        <v>30</v>
      </c>
      <c r="L37" s="22">
        <v>31</v>
      </c>
      <c r="M37" s="22">
        <v>30</v>
      </c>
      <c r="N37" s="22">
        <v>31</v>
      </c>
      <c r="O37" s="23">
        <f>+SUM(C37:N37)</f>
        <v>365</v>
      </c>
      <c r="P37" s="22">
        <v>31</v>
      </c>
      <c r="Q37" s="22">
        <v>28</v>
      </c>
      <c r="R37" s="22">
        <v>31</v>
      </c>
      <c r="S37" s="22">
        <v>30</v>
      </c>
      <c r="T37" s="22">
        <v>31</v>
      </c>
      <c r="U37" s="22">
        <v>30</v>
      </c>
      <c r="V37" s="22">
        <v>31</v>
      </c>
      <c r="W37" s="22">
        <v>31</v>
      </c>
      <c r="X37" s="22">
        <v>30</v>
      </c>
      <c r="Y37" s="22">
        <v>31</v>
      </c>
      <c r="Z37" s="22">
        <v>30</v>
      </c>
      <c r="AA37" s="22">
        <v>31</v>
      </c>
      <c r="AB37" s="23">
        <f>+SUM(P37:AA37)</f>
        <v>365</v>
      </c>
      <c r="AC37" s="22">
        <v>91</v>
      </c>
      <c r="AD37" s="22">
        <v>91</v>
      </c>
      <c r="AE37" s="22">
        <v>92</v>
      </c>
      <c r="AF37" s="22">
        <v>92</v>
      </c>
      <c r="AG37" s="23">
        <f>+SUM(AC37:AF37)</f>
        <v>366</v>
      </c>
      <c r="AH37" s="22">
        <v>90</v>
      </c>
    </row>
    <row r="38" spans="1:82" x14ac:dyDescent="0.3">
      <c r="B38" s="21" t="s">
        <v>52</v>
      </c>
      <c r="C38" s="22">
        <v>0.8</v>
      </c>
      <c r="D38" s="22">
        <v>1.2</v>
      </c>
      <c r="E38" s="22">
        <v>1.1000000000000001</v>
      </c>
      <c r="F38" s="22">
        <v>3</v>
      </c>
      <c r="G38" s="22">
        <v>4</v>
      </c>
      <c r="H38" s="22">
        <v>3.4</v>
      </c>
      <c r="I38" s="22">
        <v>3.4</v>
      </c>
      <c r="J38" s="22">
        <v>4</v>
      </c>
      <c r="K38" s="22">
        <v>4.5</v>
      </c>
      <c r="L38" s="22">
        <v>4.5</v>
      </c>
      <c r="M38" s="22">
        <v>2.7</v>
      </c>
      <c r="N38" s="22">
        <v>1.4</v>
      </c>
      <c r="O38" s="23">
        <f t="shared" ref="O38" si="39">+SUM(C38:N38)</f>
        <v>34</v>
      </c>
      <c r="P38" s="22">
        <v>0.8</v>
      </c>
      <c r="Q38" s="22">
        <v>1.2</v>
      </c>
      <c r="R38" s="22">
        <v>1.1000000000000001</v>
      </c>
      <c r="S38" s="22">
        <v>3</v>
      </c>
      <c r="T38" s="22">
        <v>4</v>
      </c>
      <c r="U38" s="22">
        <v>3.4</v>
      </c>
      <c r="V38" s="22">
        <v>3.4</v>
      </c>
      <c r="W38" s="22">
        <v>4</v>
      </c>
      <c r="X38" s="22">
        <v>4.5</v>
      </c>
      <c r="Y38" s="22">
        <v>4.5</v>
      </c>
      <c r="Z38" s="22">
        <v>2.7</v>
      </c>
      <c r="AA38" s="22">
        <v>1.4</v>
      </c>
      <c r="AB38" s="23">
        <f t="shared" ref="AB38:AB39" si="40">+SUM(P38:AA38)</f>
        <v>34</v>
      </c>
      <c r="AC38" s="22">
        <v>3.1</v>
      </c>
      <c r="AD38" s="22">
        <v>10.400000000000006</v>
      </c>
      <c r="AE38" s="22">
        <v>11.900000000000006</v>
      </c>
      <c r="AF38" s="22">
        <v>8.5999999999999943</v>
      </c>
      <c r="AG38" s="23">
        <f t="shared" ref="AG38:AG39" si="41">+SUM(AC38:AF38)</f>
        <v>34.000000000000007</v>
      </c>
      <c r="AH38" s="22">
        <v>3.1</v>
      </c>
    </row>
    <row r="39" spans="1:82" x14ac:dyDescent="0.3">
      <c r="B39" s="21" t="s">
        <v>53</v>
      </c>
      <c r="C39" s="22">
        <f>+C37-C38</f>
        <v>30.2</v>
      </c>
      <c r="D39" s="22">
        <f t="shared" ref="D39:N39" si="42">+D37-D38</f>
        <v>26.8</v>
      </c>
      <c r="E39" s="22">
        <f t="shared" si="42"/>
        <v>29.9</v>
      </c>
      <c r="F39" s="22">
        <f t="shared" si="42"/>
        <v>27</v>
      </c>
      <c r="G39" s="22">
        <f t="shared" si="42"/>
        <v>27</v>
      </c>
      <c r="H39" s="22">
        <f t="shared" si="42"/>
        <v>26.6</v>
      </c>
      <c r="I39" s="22">
        <f t="shared" si="42"/>
        <v>27.6</v>
      </c>
      <c r="J39" s="22">
        <f t="shared" si="42"/>
        <v>27</v>
      </c>
      <c r="K39" s="22">
        <f t="shared" si="42"/>
        <v>25.5</v>
      </c>
      <c r="L39" s="22">
        <f t="shared" si="42"/>
        <v>26.5</v>
      </c>
      <c r="M39" s="22">
        <f t="shared" si="42"/>
        <v>27.3</v>
      </c>
      <c r="N39" s="22">
        <f t="shared" si="42"/>
        <v>29.6</v>
      </c>
      <c r="O39" s="23">
        <f>+SUM(C39:N39)</f>
        <v>331.00000000000006</v>
      </c>
      <c r="P39" s="22">
        <f>+P37-P38</f>
        <v>30.2</v>
      </c>
      <c r="Q39" s="22">
        <f t="shared" ref="Q39:AH39" si="43">+Q37-Q38</f>
        <v>26.8</v>
      </c>
      <c r="R39" s="22">
        <f t="shared" si="43"/>
        <v>29.9</v>
      </c>
      <c r="S39" s="22">
        <f t="shared" si="43"/>
        <v>27</v>
      </c>
      <c r="T39" s="22">
        <f t="shared" si="43"/>
        <v>27</v>
      </c>
      <c r="U39" s="22">
        <f t="shared" si="43"/>
        <v>26.6</v>
      </c>
      <c r="V39" s="22">
        <f t="shared" si="43"/>
        <v>27.6</v>
      </c>
      <c r="W39" s="22">
        <f t="shared" si="43"/>
        <v>27</v>
      </c>
      <c r="X39" s="22">
        <f t="shared" si="43"/>
        <v>25.5</v>
      </c>
      <c r="Y39" s="22">
        <f t="shared" si="43"/>
        <v>26.5</v>
      </c>
      <c r="Z39" s="22">
        <f t="shared" si="43"/>
        <v>27.3</v>
      </c>
      <c r="AA39" s="22">
        <f t="shared" si="43"/>
        <v>29.6</v>
      </c>
      <c r="AB39" s="23">
        <f t="shared" si="40"/>
        <v>331.00000000000006</v>
      </c>
      <c r="AC39" s="22">
        <f t="shared" si="43"/>
        <v>87.9</v>
      </c>
      <c r="AD39" s="22">
        <f t="shared" si="43"/>
        <v>80.599999999999994</v>
      </c>
      <c r="AE39" s="22">
        <f t="shared" si="43"/>
        <v>80.099999999999994</v>
      </c>
      <c r="AF39" s="22">
        <f t="shared" si="43"/>
        <v>83.4</v>
      </c>
      <c r="AG39" s="23">
        <f t="shared" si="41"/>
        <v>332</v>
      </c>
      <c r="AH39" s="22">
        <f t="shared" si="43"/>
        <v>86.9</v>
      </c>
    </row>
    <row r="40" spans="1:82" x14ac:dyDescent="0.3">
      <c r="A40" s="58" t="s">
        <v>54</v>
      </c>
      <c r="B40" s="11" t="s">
        <v>65</v>
      </c>
      <c r="C40" s="19">
        <v>0.74096774193548387</v>
      </c>
      <c r="D40" s="19">
        <v>0.5128571428571429</v>
      </c>
      <c r="E40" s="19">
        <v>0.74096774193548387</v>
      </c>
      <c r="F40" s="19">
        <v>0.73666666666666669</v>
      </c>
      <c r="G40" s="19">
        <v>0.74096774193548387</v>
      </c>
      <c r="H40" s="19">
        <v>0.73666666666666669</v>
      </c>
      <c r="I40" s="19">
        <v>0.74096774193548387</v>
      </c>
      <c r="J40" s="19">
        <v>0.74096774193548387</v>
      </c>
      <c r="K40" s="19">
        <v>0.73666666666666669</v>
      </c>
      <c r="L40" s="19">
        <v>0.74096774193548387</v>
      </c>
      <c r="M40" s="19">
        <v>0.73666666666666669</v>
      </c>
      <c r="N40" s="19">
        <v>0.69258064516129036</v>
      </c>
      <c r="O40" s="12">
        <f>+SUMPRODUCT(C40:N40,C$5:N$5)/SUM(C$5:N$5)</f>
        <v>0.71678871919101905</v>
      </c>
      <c r="P40" s="19">
        <v>0.74096774193548387</v>
      </c>
      <c r="Q40" s="19">
        <v>0.73206896551724143</v>
      </c>
      <c r="R40" s="19">
        <v>0.74096774193548387</v>
      </c>
      <c r="S40" s="19">
        <v>0.73666666666666669</v>
      </c>
      <c r="T40" s="19">
        <v>0.54741935483870963</v>
      </c>
      <c r="U40" s="19">
        <v>0.73666666666666669</v>
      </c>
      <c r="V40" s="19">
        <v>0.64419354838709675</v>
      </c>
      <c r="W40" s="19">
        <v>0.74096774193548387</v>
      </c>
      <c r="X40" s="19">
        <v>0.73666666666666669</v>
      </c>
      <c r="Y40" s="19">
        <v>0.74096774193548387</v>
      </c>
      <c r="Z40" s="19">
        <v>0.73666666666666669</v>
      </c>
      <c r="AA40" s="19">
        <v>0.74096774193548387</v>
      </c>
      <c r="AB40" s="12">
        <f>+SUMPRODUCT(P40:AA40,P$5:AA$5)/SUM(P$5:AA$5)</f>
        <v>0.71500733163288721</v>
      </c>
      <c r="AC40" s="19">
        <v>0.71850230414746541</v>
      </c>
      <c r="AD40" s="19">
        <v>0.71587813620071683</v>
      </c>
      <c r="AE40" s="19">
        <v>0.67501792114695336</v>
      </c>
      <c r="AF40" s="19">
        <v>0.73953405017921148</v>
      </c>
      <c r="AG40" s="12">
        <f>+SUMPRODUCT(AC40:AF40,AC$5:AF$5)/SUM(AC$5:AF$5)</f>
        <v>0.71265724572637712</v>
      </c>
      <c r="AH40" s="19">
        <v>0.70294930875576045</v>
      </c>
    </row>
    <row r="41" spans="1:82" x14ac:dyDescent="0.3">
      <c r="A41" s="58" t="s">
        <v>54</v>
      </c>
      <c r="B41" s="11" t="s">
        <v>66</v>
      </c>
      <c r="C41" s="19">
        <v>0.74096774193548387</v>
      </c>
      <c r="D41" s="19">
        <v>0.72714285714285709</v>
      </c>
      <c r="E41" s="19">
        <v>0.74096774193548387</v>
      </c>
      <c r="F41" s="19">
        <v>0.73666666666666669</v>
      </c>
      <c r="G41" s="19">
        <v>0.74096774193548387</v>
      </c>
      <c r="H41" s="19">
        <v>0.73666666666666669</v>
      </c>
      <c r="I41" s="19">
        <v>0.69258064516129036</v>
      </c>
      <c r="J41" s="19">
        <v>0.74096774193548387</v>
      </c>
      <c r="K41" s="19">
        <v>0.53666666666666663</v>
      </c>
      <c r="L41" s="19">
        <v>0.74096774193548387</v>
      </c>
      <c r="M41" s="19">
        <v>0.73666666666666669</v>
      </c>
      <c r="N41" s="19">
        <v>0.74096774193548387</v>
      </c>
      <c r="O41" s="12">
        <f t="shared" ref="O41" si="44">+SUMPRODUCT(C41:N41,C$5:N$5)/SUM(C$5:N$5)</f>
        <v>0.7190232549505523</v>
      </c>
      <c r="P41" s="19">
        <v>0.57967741935483863</v>
      </c>
      <c r="Q41" s="19">
        <v>0.73206896551724143</v>
      </c>
      <c r="R41" s="19">
        <v>0.74096774193548387</v>
      </c>
      <c r="S41" s="19">
        <v>0.73666666666666669</v>
      </c>
      <c r="T41" s="19">
        <v>0.74096774193548387</v>
      </c>
      <c r="U41" s="19">
        <v>0.73666666666666669</v>
      </c>
      <c r="V41" s="19">
        <v>0.74096774193548387</v>
      </c>
      <c r="W41" s="19">
        <v>0.74096774193548387</v>
      </c>
      <c r="X41" s="19">
        <v>0.68666666666666665</v>
      </c>
      <c r="Y41" s="19">
        <v>0.54741935483870963</v>
      </c>
      <c r="Z41" s="19">
        <v>0.73666666666666669</v>
      </c>
      <c r="AA41" s="19">
        <v>0.74096774193548387</v>
      </c>
      <c r="AB41" s="12">
        <f t="shared" ref="AB41:AB42" si="45">+SUMPRODUCT(P41:AA41,P$5:AA$5)/SUM(P$5:AA$5)</f>
        <v>0.70480121137170404</v>
      </c>
      <c r="AC41" s="19">
        <v>0.73635944700460831</v>
      </c>
      <c r="AD41" s="19">
        <v>0.62698924731182792</v>
      </c>
      <c r="AE41" s="19">
        <v>0.73953405017921148</v>
      </c>
      <c r="AF41" s="19">
        <v>0.73953405017921148</v>
      </c>
      <c r="AG41" s="12">
        <f>+SUMPRODUCT(AC41:AF41,AC$5:AF$5)/SUM(AC$5:AF$5)</f>
        <v>0.71137092147391401</v>
      </c>
      <c r="AH41" s="19">
        <v>0.64880184331797242</v>
      </c>
    </row>
    <row r="42" spans="1:82" x14ac:dyDescent="0.3">
      <c r="A42" s="58" t="s">
        <v>54</v>
      </c>
      <c r="B42" s="11" t="s">
        <v>67</v>
      </c>
      <c r="C42" s="19">
        <v>0.72483870967741937</v>
      </c>
      <c r="D42" s="19">
        <v>0.7092857142857143</v>
      </c>
      <c r="E42" s="19">
        <v>0.72483870967741937</v>
      </c>
      <c r="F42" s="19">
        <v>0.72</v>
      </c>
      <c r="G42" s="19">
        <v>0.72483870967741937</v>
      </c>
      <c r="H42" s="19">
        <v>0.72</v>
      </c>
      <c r="I42" s="19">
        <v>0.72483870967741937</v>
      </c>
      <c r="J42" s="19">
        <v>0.72483870967741937</v>
      </c>
      <c r="K42" s="19">
        <v>0.72</v>
      </c>
      <c r="L42" s="19">
        <v>0.74096774193548387</v>
      </c>
      <c r="M42" s="19">
        <v>0.72</v>
      </c>
      <c r="N42" s="19">
        <v>0.72483870967741937</v>
      </c>
      <c r="O42" s="12">
        <f>+SUMPRODUCT(C42:N42,C$5:N$5)/SUM(C$5:N$5)</f>
        <v>0.7233153271054058</v>
      </c>
      <c r="P42" s="19">
        <v>0.70870967741935487</v>
      </c>
      <c r="Q42" s="19">
        <v>0.69758620689655171</v>
      </c>
      <c r="R42" s="19">
        <v>0.70870967741935487</v>
      </c>
      <c r="S42" s="19">
        <v>0.70333333333333337</v>
      </c>
      <c r="T42" s="19">
        <v>0.70870967741935487</v>
      </c>
      <c r="U42" s="19">
        <v>0.70333333333333337</v>
      </c>
      <c r="V42" s="19">
        <v>0.70870967741935487</v>
      </c>
      <c r="W42" s="19">
        <v>0.70870967741935487</v>
      </c>
      <c r="X42" s="19">
        <v>0.70333333333333337</v>
      </c>
      <c r="Y42" s="19">
        <v>0.70870967741935487</v>
      </c>
      <c r="Z42" s="19">
        <v>0.70333333333333337</v>
      </c>
      <c r="AA42" s="19">
        <v>0.70870967741935487</v>
      </c>
      <c r="AB42" s="12">
        <f t="shared" si="45"/>
        <v>0.70608081935058187</v>
      </c>
      <c r="AC42" s="19">
        <v>0.64496159754224269</v>
      </c>
      <c r="AD42" s="19">
        <v>0.7269892473118279</v>
      </c>
      <c r="AE42" s="19">
        <v>0.72842293906810041</v>
      </c>
      <c r="AF42" s="19">
        <v>0.73953405017921148</v>
      </c>
      <c r="AG42" s="12">
        <f>+SUMPRODUCT(AC42:AF42,AC$5:AF$5)/SUM(AC$5:AF$5)</f>
        <v>0.70876890048673957</v>
      </c>
      <c r="AH42" s="19">
        <v>0.70294930875576045</v>
      </c>
    </row>
    <row r="43" spans="1:82" x14ac:dyDescent="0.3">
      <c r="A43" s="14"/>
      <c r="B43" s="18"/>
      <c r="C43" s="18">
        <f>+C40*C37*24</f>
        <v>551.28</v>
      </c>
      <c r="D43" s="18">
        <f t="shared" ref="D43:AG43" si="46">+D40*D37*24</f>
        <v>344.64000000000004</v>
      </c>
      <c r="E43" s="18">
        <f t="shared" si="46"/>
        <v>551.28</v>
      </c>
      <c r="F43" s="18">
        <f t="shared" si="46"/>
        <v>530.40000000000009</v>
      </c>
      <c r="G43" s="18">
        <f t="shared" si="46"/>
        <v>551.28</v>
      </c>
      <c r="H43" s="18">
        <f t="shared" si="46"/>
        <v>530.40000000000009</v>
      </c>
      <c r="I43" s="18">
        <f t="shared" si="46"/>
        <v>551.28</v>
      </c>
      <c r="J43" s="18">
        <f t="shared" si="46"/>
        <v>551.28</v>
      </c>
      <c r="K43" s="18">
        <f t="shared" si="46"/>
        <v>530.40000000000009</v>
      </c>
      <c r="L43" s="18">
        <f t="shared" si="46"/>
        <v>551.28</v>
      </c>
      <c r="M43" s="18">
        <f t="shared" si="46"/>
        <v>530.40000000000009</v>
      </c>
      <c r="N43" s="18">
        <f t="shared" si="46"/>
        <v>515.28000000000009</v>
      </c>
      <c r="O43" s="18">
        <f t="shared" si="46"/>
        <v>6279.0691801133271</v>
      </c>
      <c r="P43" s="18">
        <f>+P40*P37*24</f>
        <v>551.28</v>
      </c>
      <c r="Q43" s="18">
        <f t="shared" ref="Q43:AA43" si="47">+Q40*Q37*24</f>
        <v>491.95034482758626</v>
      </c>
      <c r="R43" s="18">
        <f t="shared" si="47"/>
        <v>551.28</v>
      </c>
      <c r="S43" s="18">
        <f t="shared" si="47"/>
        <v>530.40000000000009</v>
      </c>
      <c r="T43" s="18">
        <f t="shared" si="47"/>
        <v>407.28</v>
      </c>
      <c r="U43" s="18">
        <f t="shared" si="47"/>
        <v>530.40000000000009</v>
      </c>
      <c r="V43" s="18">
        <f t="shared" si="47"/>
        <v>479.28</v>
      </c>
      <c r="W43" s="18">
        <f t="shared" si="47"/>
        <v>551.28</v>
      </c>
      <c r="X43" s="18">
        <f t="shared" si="47"/>
        <v>530.40000000000009</v>
      </c>
      <c r="Y43" s="18">
        <f t="shared" si="47"/>
        <v>551.28</v>
      </c>
      <c r="Z43" s="18">
        <f t="shared" si="47"/>
        <v>530.40000000000009</v>
      </c>
      <c r="AA43" s="18">
        <f t="shared" si="47"/>
        <v>551.28</v>
      </c>
      <c r="AB43" s="18">
        <f t="shared" si="46"/>
        <v>6263.4642251040914</v>
      </c>
      <c r="AC43" s="18">
        <f t="shared" si="46"/>
        <v>1569.2090322580643</v>
      </c>
      <c r="AD43" s="18">
        <f t="shared" si="46"/>
        <v>1563.4778494623656</v>
      </c>
      <c r="AE43" s="18">
        <f t="shared" si="46"/>
        <v>1490.4395698924732</v>
      </c>
      <c r="AF43" s="18">
        <f t="shared" si="46"/>
        <v>1632.891182795699</v>
      </c>
      <c r="AG43" s="18">
        <f t="shared" si="46"/>
        <v>6259.9812464604965</v>
      </c>
      <c r="AH43" s="18">
        <f>+AH41*AH37*24</f>
        <v>1401.4119815668205</v>
      </c>
    </row>
    <row r="44" spans="1:82" ht="15" customHeight="1" x14ac:dyDescent="0.3">
      <c r="A44" s="58" t="s">
        <v>58</v>
      </c>
      <c r="B44" s="11" t="s">
        <v>65</v>
      </c>
      <c r="C44" s="19">
        <v>0.77</v>
      </c>
      <c r="D44" s="19">
        <v>0.77</v>
      </c>
      <c r="E44" s="19">
        <v>0.77</v>
      </c>
      <c r="F44" s="19">
        <v>0.77</v>
      </c>
      <c r="G44" s="19">
        <v>0.77</v>
      </c>
      <c r="H44" s="19">
        <v>0.77</v>
      </c>
      <c r="I44" s="19">
        <v>0.77</v>
      </c>
      <c r="J44" s="19">
        <v>0.77</v>
      </c>
      <c r="K44" s="19">
        <v>0.77</v>
      </c>
      <c r="L44" s="19">
        <v>0.77</v>
      </c>
      <c r="M44" s="19">
        <v>0.77</v>
      </c>
      <c r="N44" s="19">
        <v>0.77</v>
      </c>
      <c r="O44" s="12">
        <f>+SUMPRODUCT(C44:N44,C$5:N$5)/SUM(C$5:N$5)</f>
        <v>0.7699999999999998</v>
      </c>
      <c r="P44" s="19">
        <v>0.77</v>
      </c>
      <c r="Q44" s="19">
        <v>0.77</v>
      </c>
      <c r="R44" s="19">
        <v>0.77</v>
      </c>
      <c r="S44" s="19">
        <v>0.77</v>
      </c>
      <c r="T44" s="19">
        <v>0.77</v>
      </c>
      <c r="U44" s="19">
        <v>0.77</v>
      </c>
      <c r="V44" s="19">
        <v>0.77</v>
      </c>
      <c r="W44" s="19">
        <v>0.77</v>
      </c>
      <c r="X44" s="19">
        <v>0.77</v>
      </c>
      <c r="Y44" s="19">
        <v>0.77</v>
      </c>
      <c r="Z44" s="19">
        <v>0.77</v>
      </c>
      <c r="AA44" s="19">
        <v>0.77</v>
      </c>
      <c r="AB44" s="12">
        <f>+SUMPRODUCT(P44:AA44,P$5:AA$5)/SUM(P$5:AA$5)</f>
        <v>0.7699999999999998</v>
      </c>
      <c r="AC44" s="19">
        <v>0.77</v>
      </c>
      <c r="AD44" s="19">
        <v>0.77</v>
      </c>
      <c r="AE44" s="19">
        <v>0.77</v>
      </c>
      <c r="AF44" s="19">
        <v>0.77</v>
      </c>
      <c r="AG44" s="12">
        <f>+SUMPRODUCT(AC44:AF44,AC$5:AF$5)/SUM(AC$5:AF$5)</f>
        <v>0.76999999999999991</v>
      </c>
      <c r="AH44" s="19">
        <v>0.77</v>
      </c>
    </row>
    <row r="45" spans="1:82" ht="15" customHeight="1" x14ac:dyDescent="0.3">
      <c r="A45" s="58" t="s">
        <v>58</v>
      </c>
      <c r="B45" s="11" t="s">
        <v>66</v>
      </c>
      <c r="C45" s="19">
        <v>0.77</v>
      </c>
      <c r="D45" s="19">
        <v>0.77</v>
      </c>
      <c r="E45" s="19">
        <v>0.77</v>
      </c>
      <c r="F45" s="19">
        <v>0.77</v>
      </c>
      <c r="G45" s="19">
        <v>0.77</v>
      </c>
      <c r="H45" s="19">
        <v>0.77</v>
      </c>
      <c r="I45" s="19">
        <v>0.77</v>
      </c>
      <c r="J45" s="19">
        <v>0.77</v>
      </c>
      <c r="K45" s="19">
        <v>0.77</v>
      </c>
      <c r="L45" s="19">
        <v>0.77</v>
      </c>
      <c r="M45" s="19">
        <v>0.77</v>
      </c>
      <c r="N45" s="19">
        <v>0.77</v>
      </c>
      <c r="O45" s="12">
        <f t="shared" ref="O45" si="48">+SUMPRODUCT(C45:N45,C$5:N$5)/SUM(C$5:N$5)</f>
        <v>0.7699999999999998</v>
      </c>
      <c r="P45" s="19">
        <v>0.77</v>
      </c>
      <c r="Q45" s="19">
        <v>0.77</v>
      </c>
      <c r="R45" s="19">
        <v>0.77</v>
      </c>
      <c r="S45" s="19">
        <v>0.77</v>
      </c>
      <c r="T45" s="19">
        <v>0.77</v>
      </c>
      <c r="U45" s="19">
        <v>0.77</v>
      </c>
      <c r="V45" s="19">
        <v>0.77</v>
      </c>
      <c r="W45" s="19">
        <v>0.77</v>
      </c>
      <c r="X45" s="19">
        <v>0.77</v>
      </c>
      <c r="Y45" s="19">
        <v>0.77</v>
      </c>
      <c r="Z45" s="19">
        <v>0.77</v>
      </c>
      <c r="AA45" s="19">
        <v>0.77</v>
      </c>
      <c r="AB45" s="12">
        <f t="shared" ref="AB45:AB46" si="49">+SUMPRODUCT(P45:AA45,P$5:AA$5)/SUM(P$5:AA$5)</f>
        <v>0.7699999999999998</v>
      </c>
      <c r="AC45" s="19">
        <v>0.77</v>
      </c>
      <c r="AD45" s="19">
        <v>0.77</v>
      </c>
      <c r="AE45" s="19">
        <v>0.77</v>
      </c>
      <c r="AF45" s="19">
        <v>0.77</v>
      </c>
      <c r="AG45" s="12">
        <f>+SUMPRODUCT(AC45:AF45,AC$5:AF$5)/SUM(AC$5:AF$5)</f>
        <v>0.76999999999999991</v>
      </c>
      <c r="AH45" s="19">
        <v>0.77</v>
      </c>
    </row>
    <row r="46" spans="1:82" ht="15" customHeight="1" x14ac:dyDescent="0.3">
      <c r="A46" s="58" t="s">
        <v>58</v>
      </c>
      <c r="B46" s="11" t="s">
        <v>67</v>
      </c>
      <c r="C46" s="19">
        <v>0.77</v>
      </c>
      <c r="D46" s="19">
        <v>0.77</v>
      </c>
      <c r="E46" s="19">
        <v>0.77</v>
      </c>
      <c r="F46" s="19">
        <v>0.77</v>
      </c>
      <c r="G46" s="19">
        <v>0.77</v>
      </c>
      <c r="H46" s="19">
        <v>0.77</v>
      </c>
      <c r="I46" s="19">
        <v>0.77</v>
      </c>
      <c r="J46" s="19">
        <v>0.77</v>
      </c>
      <c r="K46" s="19">
        <v>0.77</v>
      </c>
      <c r="L46" s="19">
        <v>0.77</v>
      </c>
      <c r="M46" s="19">
        <v>0.77</v>
      </c>
      <c r="N46" s="19">
        <v>0.77</v>
      </c>
      <c r="O46" s="12">
        <f>+SUMPRODUCT(C46:N46,C$5:N$5)/SUM(C$5:N$5)</f>
        <v>0.7699999999999998</v>
      </c>
      <c r="P46" s="19">
        <v>0.77</v>
      </c>
      <c r="Q46" s="19">
        <v>0.77</v>
      </c>
      <c r="R46" s="19">
        <v>0.77</v>
      </c>
      <c r="S46" s="19">
        <v>0.77</v>
      </c>
      <c r="T46" s="19">
        <v>0.77</v>
      </c>
      <c r="U46" s="19">
        <v>0.77</v>
      </c>
      <c r="V46" s="19">
        <v>0.77</v>
      </c>
      <c r="W46" s="19">
        <v>0.77</v>
      </c>
      <c r="X46" s="19">
        <v>0.77</v>
      </c>
      <c r="Y46" s="19">
        <v>0.77</v>
      </c>
      <c r="Z46" s="19">
        <v>0.77</v>
      </c>
      <c r="AA46" s="19">
        <v>0.77</v>
      </c>
      <c r="AB46" s="12">
        <f t="shared" si="49"/>
        <v>0.7699999999999998</v>
      </c>
      <c r="AC46" s="19">
        <v>0.77</v>
      </c>
      <c r="AD46" s="19">
        <v>0.77</v>
      </c>
      <c r="AE46" s="19">
        <v>0.77</v>
      </c>
      <c r="AF46" s="19">
        <v>0.77</v>
      </c>
      <c r="AG46" s="12">
        <f>+SUMPRODUCT(AC46:AF46,AC$5:AF$5)/SUM(AC$5:AF$5)</f>
        <v>0.76999999999999991</v>
      </c>
      <c r="AH46" s="19">
        <v>0.77</v>
      </c>
    </row>
    <row r="47" spans="1:82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3"/>
      <c r="AD47" s="13"/>
      <c r="AE47" s="13"/>
      <c r="AF47" s="13"/>
      <c r="AG47" s="14"/>
      <c r="AH47" s="13"/>
    </row>
    <row r="48" spans="1:82" x14ac:dyDescent="0.3">
      <c r="A48" s="58" t="s">
        <v>68</v>
      </c>
      <c r="B48" s="11" t="s">
        <v>65</v>
      </c>
      <c r="C48" s="19">
        <v>0.39700129145331736</v>
      </c>
      <c r="D48" s="19">
        <v>0.5552192411168001</v>
      </c>
      <c r="E48" s="19">
        <v>0.4855585546364824</v>
      </c>
      <c r="F48" s="19">
        <v>0.52764424585980296</v>
      </c>
      <c r="G48" s="19">
        <v>0.56175915556826661</v>
      </c>
      <c r="H48" s="19">
        <v>0.50312802682814706</v>
      </c>
      <c r="I48" s="19">
        <v>0.31793731734499348</v>
      </c>
      <c r="J48" s="19">
        <v>0.54930552090890505</v>
      </c>
      <c r="K48" s="19">
        <v>0.19688789828780162</v>
      </c>
      <c r="L48" s="19">
        <v>0.50432022291847489</v>
      </c>
      <c r="M48" s="19">
        <v>0.43898459215722846</v>
      </c>
      <c r="N48" s="19">
        <v>0.41143976311825409</v>
      </c>
      <c r="O48" s="12">
        <f>+SUMPRODUCT(C48:N48,C$5:N$5)/SUM(C$5:N$5)</f>
        <v>0.45419624015338744</v>
      </c>
      <c r="P48" s="19">
        <v>0.37071390099258023</v>
      </c>
      <c r="Q48" s="19">
        <v>0.39510124896254506</v>
      </c>
      <c r="R48" s="19">
        <v>0.44066459841801076</v>
      </c>
      <c r="S48" s="19">
        <v>0.37142969948007037</v>
      </c>
      <c r="T48" s="19">
        <v>0.48371221912254314</v>
      </c>
      <c r="U48" s="19">
        <v>0.37142969948007037</v>
      </c>
      <c r="V48" s="19">
        <v>0.47851457185778673</v>
      </c>
      <c r="W48" s="19">
        <v>0.41601811057901616</v>
      </c>
      <c r="X48" s="19">
        <v>0.43239529411764699</v>
      </c>
      <c r="Y48" s="19">
        <v>0.5420834131475839</v>
      </c>
      <c r="Z48" s="19">
        <v>0.5634233484162896</v>
      </c>
      <c r="AA48" s="19">
        <v>0.5420834131475839</v>
      </c>
      <c r="AB48" s="12">
        <f>+SUMPRODUCT(P48:AA48,P$5:AA$5)/SUM(P$5:AA$5)</f>
        <v>0.45071575420411952</v>
      </c>
      <c r="AC48" s="19">
        <v>0.37663493241701657</v>
      </c>
      <c r="AD48" s="19">
        <v>0.44006212958923113</v>
      </c>
      <c r="AE48" s="19">
        <v>0.38958849407142648</v>
      </c>
      <c r="AF48" s="19">
        <v>0.25069682800241905</v>
      </c>
      <c r="AG48" s="12">
        <f>+SUMPRODUCT(AC48:AF48,AC$5:AF$5)/SUM(AC$5:AF$5)</f>
        <v>0.36352220492430959</v>
      </c>
      <c r="AH48" s="19">
        <v>0</v>
      </c>
    </row>
    <row r="49" spans="1:34" x14ac:dyDescent="0.3">
      <c r="A49" s="58" t="s">
        <v>68</v>
      </c>
      <c r="B49" s="11" t="s">
        <v>66</v>
      </c>
      <c r="C49" s="19">
        <v>0.30566349540178422</v>
      </c>
      <c r="D49" s="19">
        <v>0.47055033489268255</v>
      </c>
      <c r="E49" s="19">
        <v>0.51553512880273988</v>
      </c>
      <c r="F49" s="19">
        <v>0.5709646356937389</v>
      </c>
      <c r="G49" s="19">
        <v>0.50537371266702946</v>
      </c>
      <c r="H49" s="19">
        <v>0.51453714863847355</v>
      </c>
      <c r="I49" s="19">
        <v>0.43010738058233416</v>
      </c>
      <c r="J49" s="19">
        <v>0.47519261635719778</v>
      </c>
      <c r="K49" s="19">
        <v>0.57202666891202703</v>
      </c>
      <c r="L49" s="19">
        <v>0.4652760020173175</v>
      </c>
      <c r="M49" s="19">
        <v>0.50744924520334234</v>
      </c>
      <c r="N49" s="19">
        <v>0.55968500355336814</v>
      </c>
      <c r="O49" s="12">
        <f>+SUMPRODUCT(C49:N49,C$5:N$5)/SUM(C$5:N$5)</f>
        <v>0.48955229426781605</v>
      </c>
      <c r="P49" s="19">
        <v>0.54542685064045604</v>
      </c>
      <c r="Q49" s="19">
        <v>0.29616148198164649</v>
      </c>
      <c r="R49" s="19">
        <v>0.41572138489821947</v>
      </c>
      <c r="S49" s="19">
        <v>0.56131119946412256</v>
      </c>
      <c r="T49" s="19">
        <v>0.5472345454138926</v>
      </c>
      <c r="U49" s="19">
        <v>0.53016489478840612</v>
      </c>
      <c r="V49" s="19">
        <v>0.47570133797707165</v>
      </c>
      <c r="W49" s="19">
        <v>0.46249570744449287</v>
      </c>
      <c r="X49" s="19">
        <v>0.52476665372168296</v>
      </c>
      <c r="Y49" s="19">
        <v>0.41247806193937014</v>
      </c>
      <c r="Z49" s="19">
        <v>0.47902350125691295</v>
      </c>
      <c r="AA49" s="19">
        <v>0.46088025153581968</v>
      </c>
      <c r="AB49" s="12">
        <f t="shared" ref="AB49:AB50" si="50">+SUMPRODUCT(P49:AA49,P$5:AA$5)/SUM(P$5:AA$5)</f>
        <v>0.47589294772877144</v>
      </c>
      <c r="AC49" s="19">
        <v>0.53375318898361779</v>
      </c>
      <c r="AD49" s="19">
        <v>0.61645027469715863</v>
      </c>
      <c r="AE49" s="19">
        <v>0.52550922452213522</v>
      </c>
      <c r="AF49" s="19">
        <v>0.52287649354453458</v>
      </c>
      <c r="AG49" s="12">
        <f>+SUMPRODUCT(AC49:AF49,AC$5:AF$5)/SUM(AC$5:AF$5)</f>
        <v>0.54910839125930189</v>
      </c>
      <c r="AH49" s="19">
        <v>0.28551204446864648</v>
      </c>
    </row>
    <row r="50" spans="1:34" x14ac:dyDescent="0.3">
      <c r="A50" s="58" t="s">
        <v>68</v>
      </c>
      <c r="B50" s="11" t="s">
        <v>67</v>
      </c>
      <c r="C50" s="19">
        <v>0</v>
      </c>
      <c r="D50" s="19">
        <v>0.50231024756058729</v>
      </c>
      <c r="E50" s="19">
        <v>0.32007928776095423</v>
      </c>
      <c r="F50" s="19">
        <v>0.41322504821620215</v>
      </c>
      <c r="G50" s="19">
        <v>0.38746503405756377</v>
      </c>
      <c r="H50" s="19">
        <v>0.34160653087252218</v>
      </c>
      <c r="I50" s="19">
        <v>0.52731669634726008</v>
      </c>
      <c r="J50" s="19">
        <v>0.62430464460382762</v>
      </c>
      <c r="K50" s="19">
        <v>0.5927251424138914</v>
      </c>
      <c r="L50" s="19">
        <v>0.58229435849497391</v>
      </c>
      <c r="M50" s="19">
        <v>0.58222284020438886</v>
      </c>
      <c r="N50" s="19">
        <v>0.37424773839555336</v>
      </c>
      <c r="O50" s="12">
        <f>+SUMPRODUCT(C50:N50,C$5:N$5)/SUM(C$5:N$5)</f>
        <v>0.43101367290188514</v>
      </c>
      <c r="P50" s="19">
        <v>0.15293582157487481</v>
      </c>
      <c r="Q50" s="19">
        <v>0.20871289692347528</v>
      </c>
      <c r="R50" s="19">
        <v>0.14679107874374145</v>
      </c>
      <c r="S50" s="19">
        <v>0.28120063191153238</v>
      </c>
      <c r="T50" s="19">
        <v>0.26255499924138975</v>
      </c>
      <c r="U50" s="19">
        <v>0.31382306477093203</v>
      </c>
      <c r="V50" s="19">
        <v>0.21195569716279772</v>
      </c>
      <c r="W50" s="19">
        <v>0.22576240327719616</v>
      </c>
      <c r="X50" s="19">
        <v>0.22622432859399683</v>
      </c>
      <c r="Y50" s="19">
        <v>0.16325292064937033</v>
      </c>
      <c r="Z50" s="19">
        <v>0</v>
      </c>
      <c r="AA50" s="19">
        <v>0</v>
      </c>
      <c r="AB50" s="12">
        <f t="shared" si="50"/>
        <v>0.18027432378887207</v>
      </c>
      <c r="AC50" s="19">
        <v>0.261167843995669</v>
      </c>
      <c r="AD50" s="19">
        <v>0.22785227576811112</v>
      </c>
      <c r="AE50" s="19">
        <v>0.2286536400608434</v>
      </c>
      <c r="AF50" s="19">
        <v>0.2240899258048005</v>
      </c>
      <c r="AG50" s="12">
        <f>+SUMPRODUCT(AC50:AF50,AC$5:AF$5)/SUM(AC$5:AF$5)</f>
        <v>0.23592109426241861</v>
      </c>
      <c r="AH50" s="19">
        <v>0.42150449912348426</v>
      </c>
    </row>
    <row r="51" spans="1:34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3"/>
      <c r="AD51" s="13"/>
      <c r="AE51" s="13"/>
      <c r="AF51" s="13"/>
      <c r="AG51" s="14"/>
      <c r="AH51" s="13"/>
    </row>
    <row r="52" spans="1:34" x14ac:dyDescent="0.3">
      <c r="A52" s="59" t="s">
        <v>60</v>
      </c>
      <c r="B52" s="11" t="s">
        <v>65</v>
      </c>
      <c r="C52" s="19">
        <f>+C44*C$5/C$3</f>
        <v>0.7501290322580646</v>
      </c>
      <c r="D52" s="19">
        <f t="shared" ref="D52:N52" si="51">+D44*D$5/D$3</f>
        <v>0.7370000000000001</v>
      </c>
      <c r="E52" s="19">
        <f t="shared" si="51"/>
        <v>0.74267741935483866</v>
      </c>
      <c r="F52" s="19">
        <f t="shared" si="51"/>
        <v>0.69299999999999995</v>
      </c>
      <c r="G52" s="19">
        <f t="shared" si="51"/>
        <v>0.67064516129032259</v>
      </c>
      <c r="H52" s="19">
        <f t="shared" si="51"/>
        <v>0.68273333333333341</v>
      </c>
      <c r="I52" s="19">
        <f t="shared" si="51"/>
        <v>0.68554838709677424</v>
      </c>
      <c r="J52" s="19">
        <f t="shared" si="51"/>
        <v>0.67064516129032259</v>
      </c>
      <c r="K52" s="19">
        <f t="shared" si="51"/>
        <v>0.65450000000000008</v>
      </c>
      <c r="L52" s="19">
        <f t="shared" si="51"/>
        <v>0.65822580645161299</v>
      </c>
      <c r="M52" s="19">
        <f t="shared" si="51"/>
        <v>0.70069999999999999</v>
      </c>
      <c r="N52" s="19">
        <f t="shared" si="51"/>
        <v>0.73522580645161295</v>
      </c>
      <c r="O52" s="12">
        <f>+SUMPRODUCT(C52:N52,C$5:N$5)/SUM(C$5:N$5)</f>
        <v>0.6998300912841503</v>
      </c>
      <c r="P52" s="19">
        <f>+P44*P$5/P$3</f>
        <v>0.7501290322580646</v>
      </c>
      <c r="Q52" s="19">
        <f t="shared" ref="Q52:AA52" si="52">+Q44*Q$5/Q$3</f>
        <v>0.7370000000000001</v>
      </c>
      <c r="R52" s="19">
        <f t="shared" si="52"/>
        <v>0.74267741935483866</v>
      </c>
      <c r="S52" s="19">
        <f t="shared" si="52"/>
        <v>0.69299999999999995</v>
      </c>
      <c r="T52" s="19">
        <f t="shared" si="52"/>
        <v>0.67064516129032259</v>
      </c>
      <c r="U52" s="19">
        <f t="shared" si="52"/>
        <v>0.68273333333333341</v>
      </c>
      <c r="V52" s="19">
        <f t="shared" si="52"/>
        <v>0.68554838709677424</v>
      </c>
      <c r="W52" s="19">
        <f t="shared" si="52"/>
        <v>0.67064516129032259</v>
      </c>
      <c r="X52" s="19">
        <f t="shared" si="52"/>
        <v>0.65450000000000008</v>
      </c>
      <c r="Y52" s="19">
        <f t="shared" si="52"/>
        <v>0.65822580645161299</v>
      </c>
      <c r="Z52" s="19">
        <f t="shared" si="52"/>
        <v>0.70069999999999999</v>
      </c>
      <c r="AA52" s="19">
        <f t="shared" si="52"/>
        <v>0.73522580645161295</v>
      </c>
      <c r="AB52" s="12">
        <f>+SUMPRODUCT(P52:AA52,P$5:AA$5)/SUM(P$5:AA$5)</f>
        <v>0.6998300912841503</v>
      </c>
      <c r="AC52" s="19">
        <f>+AC44*AC$5/AC$3</f>
        <v>0.74376923076923085</v>
      </c>
      <c r="AD52" s="19">
        <f>+AD44*AD$5/AD$3</f>
        <v>0.68199999999999994</v>
      </c>
      <c r="AE52" s="19">
        <f t="shared" ref="AE52:AF52" si="53">+AE44*AE$5/AE$3</f>
        <v>0.67040217391304346</v>
      </c>
      <c r="AF52" s="19">
        <f t="shared" si="53"/>
        <v>0.69802173913043486</v>
      </c>
      <c r="AG52" s="12">
        <f>+SUMPRODUCT(AC52:AF52,AC$5:AF$5)/SUM(AC$5:AF$5)</f>
        <v>0.69958054987508567</v>
      </c>
      <c r="AH52" s="19">
        <f t="shared" ref="AH52:AH54" si="54">+AH44*AH$5/AH$3</f>
        <v>0.7434777777777779</v>
      </c>
    </row>
    <row r="53" spans="1:34" x14ac:dyDescent="0.3">
      <c r="A53" s="59" t="s">
        <v>60</v>
      </c>
      <c r="B53" s="11" t="s">
        <v>66</v>
      </c>
      <c r="C53" s="19">
        <f t="shared" ref="C53:N54" si="55">+C45*C$5/C$3</f>
        <v>0.7501290322580646</v>
      </c>
      <c r="D53" s="19">
        <f t="shared" si="55"/>
        <v>0.7370000000000001</v>
      </c>
      <c r="E53" s="19">
        <f t="shared" si="55"/>
        <v>0.74267741935483866</v>
      </c>
      <c r="F53" s="19">
        <f t="shared" si="55"/>
        <v>0.69299999999999995</v>
      </c>
      <c r="G53" s="19">
        <f t="shared" si="55"/>
        <v>0.67064516129032259</v>
      </c>
      <c r="H53" s="19">
        <f t="shared" si="55"/>
        <v>0.68273333333333341</v>
      </c>
      <c r="I53" s="19">
        <f t="shared" si="55"/>
        <v>0.68554838709677424</v>
      </c>
      <c r="J53" s="19">
        <f t="shared" si="55"/>
        <v>0.67064516129032259</v>
      </c>
      <c r="K53" s="19">
        <f t="shared" si="55"/>
        <v>0.65450000000000008</v>
      </c>
      <c r="L53" s="19">
        <f t="shared" si="55"/>
        <v>0.65822580645161299</v>
      </c>
      <c r="M53" s="19">
        <f t="shared" si="55"/>
        <v>0.70069999999999999</v>
      </c>
      <c r="N53" s="19">
        <f t="shared" si="55"/>
        <v>0.73522580645161295</v>
      </c>
      <c r="O53" s="12">
        <f>+SUMPRODUCT(C53:N53,C$5:N$5)/SUM(C$5:N$5)</f>
        <v>0.6998300912841503</v>
      </c>
      <c r="P53" s="19">
        <f t="shared" ref="P53:AA54" si="56">+P45*P$5/P$3</f>
        <v>0.7501290322580646</v>
      </c>
      <c r="Q53" s="19">
        <f t="shared" si="56"/>
        <v>0.7370000000000001</v>
      </c>
      <c r="R53" s="19">
        <f t="shared" si="56"/>
        <v>0.74267741935483866</v>
      </c>
      <c r="S53" s="19">
        <f t="shared" si="56"/>
        <v>0.69299999999999995</v>
      </c>
      <c r="T53" s="19">
        <f t="shared" si="56"/>
        <v>0.67064516129032259</v>
      </c>
      <c r="U53" s="19">
        <f t="shared" si="56"/>
        <v>0.68273333333333341</v>
      </c>
      <c r="V53" s="19">
        <f t="shared" si="56"/>
        <v>0.68554838709677424</v>
      </c>
      <c r="W53" s="19">
        <f t="shared" si="56"/>
        <v>0.67064516129032259</v>
      </c>
      <c r="X53" s="19">
        <f t="shared" si="56"/>
        <v>0.65450000000000008</v>
      </c>
      <c r="Y53" s="19">
        <f t="shared" si="56"/>
        <v>0.65822580645161299</v>
      </c>
      <c r="Z53" s="19">
        <f t="shared" si="56"/>
        <v>0.70069999999999999</v>
      </c>
      <c r="AA53" s="19">
        <f t="shared" si="56"/>
        <v>0.73522580645161295</v>
      </c>
      <c r="AB53" s="12">
        <f t="shared" ref="AB53" si="57">+SUMPRODUCT(P53:AA53,P$5:AA$5)/SUM(P$5:AA$5)</f>
        <v>0.6998300912841503</v>
      </c>
      <c r="AC53" s="19">
        <f t="shared" ref="AC53:AF54" si="58">+AC45*AC$5/AC$3</f>
        <v>0.74376923076923085</v>
      </c>
      <c r="AD53" s="19">
        <f t="shared" si="58"/>
        <v>0.68199999999999994</v>
      </c>
      <c r="AE53" s="19">
        <f t="shared" si="58"/>
        <v>0.67040217391304346</v>
      </c>
      <c r="AF53" s="19">
        <f t="shared" si="58"/>
        <v>0.69802173913043486</v>
      </c>
      <c r="AG53" s="12">
        <f>+SUMPRODUCT(AC53:AF53,AC$5:AF$5)/SUM(AC$5:AF$5)</f>
        <v>0.69958054987508567</v>
      </c>
      <c r="AH53" s="19">
        <f t="shared" si="54"/>
        <v>0.7434777777777779</v>
      </c>
    </row>
    <row r="54" spans="1:34" x14ac:dyDescent="0.3">
      <c r="A54" s="59" t="s">
        <v>60</v>
      </c>
      <c r="B54" s="11" t="s">
        <v>67</v>
      </c>
      <c r="C54" s="19">
        <f t="shared" si="55"/>
        <v>0.7501290322580646</v>
      </c>
      <c r="D54" s="19">
        <f t="shared" si="55"/>
        <v>0.7370000000000001</v>
      </c>
      <c r="E54" s="19">
        <f t="shared" si="55"/>
        <v>0.74267741935483866</v>
      </c>
      <c r="F54" s="19">
        <f t="shared" si="55"/>
        <v>0.69299999999999995</v>
      </c>
      <c r="G54" s="19">
        <f t="shared" si="55"/>
        <v>0.67064516129032259</v>
      </c>
      <c r="H54" s="19">
        <f t="shared" si="55"/>
        <v>0.68273333333333341</v>
      </c>
      <c r="I54" s="19">
        <f t="shared" si="55"/>
        <v>0.68554838709677424</v>
      </c>
      <c r="J54" s="19">
        <f t="shared" si="55"/>
        <v>0.67064516129032259</v>
      </c>
      <c r="K54" s="19">
        <f t="shared" si="55"/>
        <v>0.65450000000000008</v>
      </c>
      <c r="L54" s="19">
        <f t="shared" si="55"/>
        <v>0.65822580645161299</v>
      </c>
      <c r="M54" s="19">
        <f t="shared" si="55"/>
        <v>0.70069999999999999</v>
      </c>
      <c r="N54" s="19">
        <f t="shared" si="55"/>
        <v>0.73522580645161295</v>
      </c>
      <c r="O54" s="12">
        <f t="shared" ref="O54" si="59">+SUMPRODUCT(C54:N54,C$5:N$5)/SUM(C$5:N$5)</f>
        <v>0.6998300912841503</v>
      </c>
      <c r="P54" s="19">
        <f t="shared" si="56"/>
        <v>0.7501290322580646</v>
      </c>
      <c r="Q54" s="19">
        <f t="shared" si="56"/>
        <v>0.7370000000000001</v>
      </c>
      <c r="R54" s="19">
        <f t="shared" si="56"/>
        <v>0.74267741935483866</v>
      </c>
      <c r="S54" s="19">
        <f t="shared" si="56"/>
        <v>0.69299999999999995</v>
      </c>
      <c r="T54" s="19">
        <f t="shared" si="56"/>
        <v>0.67064516129032259</v>
      </c>
      <c r="U54" s="19">
        <f t="shared" si="56"/>
        <v>0.68273333333333341</v>
      </c>
      <c r="V54" s="19">
        <f t="shared" si="56"/>
        <v>0.68554838709677424</v>
      </c>
      <c r="W54" s="19">
        <f t="shared" si="56"/>
        <v>0.67064516129032259</v>
      </c>
      <c r="X54" s="19">
        <f t="shared" si="56"/>
        <v>0.65450000000000008</v>
      </c>
      <c r="Y54" s="19">
        <f t="shared" si="56"/>
        <v>0.65822580645161299</v>
      </c>
      <c r="Z54" s="19">
        <f t="shared" si="56"/>
        <v>0.70069999999999999</v>
      </c>
      <c r="AA54" s="19">
        <f t="shared" si="56"/>
        <v>0.73522580645161295</v>
      </c>
      <c r="AB54" s="12">
        <f>+SUMPRODUCT(P54:AA54,P$5:AA$5)/SUM(P$5:AA$5)</f>
        <v>0.6998300912841503</v>
      </c>
      <c r="AC54" s="19">
        <f t="shared" si="58"/>
        <v>0.74376923076923085</v>
      </c>
      <c r="AD54" s="19">
        <f t="shared" si="58"/>
        <v>0.68199999999999994</v>
      </c>
      <c r="AE54" s="19">
        <f t="shared" si="58"/>
        <v>0.67040217391304346</v>
      </c>
      <c r="AF54" s="19">
        <f t="shared" si="58"/>
        <v>0.69802173913043486</v>
      </c>
      <c r="AG54" s="12">
        <f>+SUMPRODUCT(AC54:AF54,AC$5:AF$5)/SUM(AC$5:AF$5)</f>
        <v>0.69958054987508567</v>
      </c>
      <c r="AH54" s="19">
        <f t="shared" si="54"/>
        <v>0.7434777777777779</v>
      </c>
    </row>
    <row r="55" spans="1:34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3"/>
      <c r="AD55" s="13"/>
      <c r="AE55" s="13"/>
      <c r="AF55" s="13"/>
      <c r="AG55" s="14"/>
      <c r="AH55" s="13"/>
    </row>
    <row r="56" spans="1:34" x14ac:dyDescent="0.3">
      <c r="A56" s="58" t="str">
        <f>+A22</f>
        <v>Rendimiento (MPH)</v>
      </c>
      <c r="B56" s="11" t="s">
        <v>65</v>
      </c>
      <c r="C56" s="60">
        <v>25</v>
      </c>
      <c r="D56" s="60">
        <v>25</v>
      </c>
      <c r="E56" s="60">
        <v>25</v>
      </c>
      <c r="F56" s="60">
        <v>25</v>
      </c>
      <c r="G56" s="60">
        <v>25</v>
      </c>
      <c r="H56" s="60">
        <v>25</v>
      </c>
      <c r="I56" s="60">
        <v>25</v>
      </c>
      <c r="J56" s="60">
        <v>25</v>
      </c>
      <c r="K56" s="60">
        <v>25</v>
      </c>
      <c r="L56" s="60">
        <v>25</v>
      </c>
      <c r="M56" s="60">
        <v>25</v>
      </c>
      <c r="N56" s="60">
        <v>25</v>
      </c>
      <c r="O56" s="15">
        <f>+SUMPRODUCT(C56:N56,C$5:N$5)/SUM(C$5:N$5)</f>
        <v>24.999999999999996</v>
      </c>
      <c r="P56" s="60">
        <v>25</v>
      </c>
      <c r="Q56" s="60">
        <v>25</v>
      </c>
      <c r="R56" s="60">
        <v>25</v>
      </c>
      <c r="S56" s="60">
        <v>25</v>
      </c>
      <c r="T56" s="60">
        <v>25</v>
      </c>
      <c r="U56" s="60">
        <v>25</v>
      </c>
      <c r="V56" s="60">
        <v>25</v>
      </c>
      <c r="W56" s="60">
        <v>25</v>
      </c>
      <c r="X56" s="60">
        <v>25</v>
      </c>
      <c r="Y56" s="60">
        <v>25</v>
      </c>
      <c r="Z56" s="60">
        <v>25</v>
      </c>
      <c r="AA56" s="60">
        <v>25</v>
      </c>
      <c r="AB56" s="15">
        <f>+SUMPRODUCT(P56:AA56,P$5:AA$5)/SUM(P$5:AA$5)</f>
        <v>24.999999999999996</v>
      </c>
      <c r="AC56" s="60">
        <v>25</v>
      </c>
      <c r="AD56" s="60">
        <v>25</v>
      </c>
      <c r="AE56" s="60">
        <v>25</v>
      </c>
      <c r="AF56" s="60">
        <v>25</v>
      </c>
      <c r="AG56" s="15">
        <f>+SUMPRODUCT(AC56:AF56,AC$5:AF$5)/SUM(AC$5:AF$5)</f>
        <v>25</v>
      </c>
      <c r="AH56" s="60">
        <v>25</v>
      </c>
    </row>
    <row r="57" spans="1:34" x14ac:dyDescent="0.3">
      <c r="A57" s="58" t="str">
        <f t="shared" ref="A57:A58" si="60">+A23</f>
        <v>Rendimiento (MPH)</v>
      </c>
      <c r="B57" s="11" t="s">
        <v>66</v>
      </c>
      <c r="C57" s="60">
        <v>25</v>
      </c>
      <c r="D57" s="60">
        <v>25</v>
      </c>
      <c r="E57" s="60">
        <v>25</v>
      </c>
      <c r="F57" s="60">
        <v>25</v>
      </c>
      <c r="G57" s="60">
        <v>25</v>
      </c>
      <c r="H57" s="60">
        <v>25</v>
      </c>
      <c r="I57" s="60">
        <v>25</v>
      </c>
      <c r="J57" s="60">
        <v>25</v>
      </c>
      <c r="K57" s="60">
        <v>25</v>
      </c>
      <c r="L57" s="60">
        <v>25</v>
      </c>
      <c r="M57" s="60">
        <v>25</v>
      </c>
      <c r="N57" s="60">
        <v>25</v>
      </c>
      <c r="O57" s="15">
        <f>+SUMPRODUCT(C57:N57,C$5:N$5)/SUM(C$5:N$5)</f>
        <v>24.999999999999996</v>
      </c>
      <c r="P57" s="60">
        <v>25</v>
      </c>
      <c r="Q57" s="60">
        <v>25</v>
      </c>
      <c r="R57" s="60">
        <v>25</v>
      </c>
      <c r="S57" s="60">
        <v>25</v>
      </c>
      <c r="T57" s="60">
        <v>25</v>
      </c>
      <c r="U57" s="60">
        <v>25</v>
      </c>
      <c r="V57" s="60">
        <v>25</v>
      </c>
      <c r="W57" s="60">
        <v>25</v>
      </c>
      <c r="X57" s="60">
        <v>25</v>
      </c>
      <c r="Y57" s="60">
        <v>25</v>
      </c>
      <c r="Z57" s="60">
        <v>25</v>
      </c>
      <c r="AA57" s="60">
        <v>25</v>
      </c>
      <c r="AB57" s="15">
        <f t="shared" ref="AB57:AB58" si="61">+SUMPRODUCT(P57:AA57,P$5:AA$5)/SUM(P$5:AA$5)</f>
        <v>24.999999999999996</v>
      </c>
      <c r="AC57" s="60">
        <v>25</v>
      </c>
      <c r="AD57" s="60">
        <v>25</v>
      </c>
      <c r="AE57" s="60">
        <v>25</v>
      </c>
      <c r="AF57" s="60">
        <v>25</v>
      </c>
      <c r="AG57" s="15">
        <f>+SUMPRODUCT(AC57:AF57,AC$5:AF$5)/SUM(AC$5:AF$5)</f>
        <v>25</v>
      </c>
      <c r="AH57" s="60">
        <v>25</v>
      </c>
    </row>
    <row r="58" spans="1:34" x14ac:dyDescent="0.3">
      <c r="A58" s="58" t="str">
        <f t="shared" si="60"/>
        <v>Rendimiento (MPH)</v>
      </c>
      <c r="B58" s="11" t="s">
        <v>67</v>
      </c>
      <c r="C58" s="60">
        <v>25</v>
      </c>
      <c r="D58" s="60">
        <v>25</v>
      </c>
      <c r="E58" s="60">
        <v>25</v>
      </c>
      <c r="F58" s="60">
        <v>25</v>
      </c>
      <c r="G58" s="60">
        <v>25</v>
      </c>
      <c r="H58" s="60">
        <v>25</v>
      </c>
      <c r="I58" s="60">
        <v>25</v>
      </c>
      <c r="J58" s="60">
        <v>25</v>
      </c>
      <c r="K58" s="60">
        <v>25</v>
      </c>
      <c r="L58" s="60">
        <v>25</v>
      </c>
      <c r="M58" s="60">
        <v>25</v>
      </c>
      <c r="N58" s="60">
        <v>25</v>
      </c>
      <c r="O58" s="15">
        <f t="shared" ref="O58" si="62">+SUMPRODUCT(C58:N58,C$5:N$5)/SUM(C$5:N$5)</f>
        <v>24.999999999999996</v>
      </c>
      <c r="P58" s="60">
        <v>25</v>
      </c>
      <c r="Q58" s="60">
        <v>25</v>
      </c>
      <c r="R58" s="60">
        <v>25</v>
      </c>
      <c r="S58" s="60">
        <v>25</v>
      </c>
      <c r="T58" s="60">
        <v>25</v>
      </c>
      <c r="U58" s="60">
        <v>25</v>
      </c>
      <c r="V58" s="60">
        <v>25</v>
      </c>
      <c r="W58" s="60">
        <v>25</v>
      </c>
      <c r="X58" s="60">
        <v>25</v>
      </c>
      <c r="Y58" s="60">
        <v>25</v>
      </c>
      <c r="Z58" s="60">
        <v>25</v>
      </c>
      <c r="AA58" s="60">
        <v>25</v>
      </c>
      <c r="AB58" s="15">
        <f t="shared" si="61"/>
        <v>24.999999999999996</v>
      </c>
      <c r="AC58" s="60">
        <v>25</v>
      </c>
      <c r="AD58" s="60">
        <v>25</v>
      </c>
      <c r="AE58" s="60">
        <v>25</v>
      </c>
      <c r="AF58" s="60">
        <v>25</v>
      </c>
      <c r="AG58" s="15">
        <f>+SUMPRODUCT(AC58:AF58,AC$5:AF$5)/SUM(AC$5:AF$5)</f>
        <v>25</v>
      </c>
      <c r="AH58" s="60">
        <v>25</v>
      </c>
    </row>
    <row r="59" spans="1:34" x14ac:dyDescent="0.3">
      <c r="O59" s="61"/>
      <c r="AB59" s="61"/>
      <c r="AG59" s="61"/>
    </row>
    <row r="60" spans="1:34" x14ac:dyDescent="0.3">
      <c r="A60" s="58" t="s">
        <v>62</v>
      </c>
      <c r="B60" s="11" t="s">
        <v>65</v>
      </c>
      <c r="C60" s="16">
        <f t="shared" ref="C60:N62" si="63">+C48*C40*C$37*24</f>
        <v>218.85887195238479</v>
      </c>
      <c r="D60" s="16">
        <f t="shared" si="63"/>
        <v>191.35075925849401</v>
      </c>
      <c r="E60" s="16">
        <f t="shared" si="63"/>
        <v>267.67872</v>
      </c>
      <c r="F60" s="16">
        <f t="shared" si="63"/>
        <v>279.86250800403946</v>
      </c>
      <c r="G60" s="16">
        <f t="shared" si="63"/>
        <v>309.68658728167401</v>
      </c>
      <c r="H60" s="16">
        <f t="shared" si="63"/>
        <v>266.85910542964922</v>
      </c>
      <c r="I60" s="16">
        <f t="shared" si="63"/>
        <v>175.27248430594801</v>
      </c>
      <c r="J60" s="16">
        <f t="shared" si="63"/>
        <v>302.82114756666118</v>
      </c>
      <c r="K60" s="16">
        <f t="shared" si="63"/>
        <v>104.42934125184999</v>
      </c>
      <c r="L60" s="16">
        <f t="shared" si="63"/>
        <v>278.02165249049682</v>
      </c>
      <c r="M60" s="16">
        <f t="shared" si="63"/>
        <v>232.837427680194</v>
      </c>
      <c r="N60" s="16">
        <f t="shared" si="63"/>
        <v>212.00668113957403</v>
      </c>
      <c r="O60" s="17">
        <f t="shared" ref="O60:O62" si="64">SUM(C60:N60)</f>
        <v>2839.6852863609656</v>
      </c>
      <c r="P60" s="16">
        <f t="shared" ref="P60:AA62" si="65">+P48*P40*P$37*24</f>
        <v>204.36715933918964</v>
      </c>
      <c r="Q60" s="16">
        <f t="shared" si="65"/>
        <v>194.37019566893406</v>
      </c>
      <c r="R60" s="16">
        <f t="shared" si="65"/>
        <v>242.92957981588097</v>
      </c>
      <c r="S60" s="16">
        <f t="shared" si="65"/>
        <v>197.00631260422932</v>
      </c>
      <c r="T60" s="16">
        <f t="shared" si="65"/>
        <v>197.00631260422935</v>
      </c>
      <c r="U60" s="16">
        <f t="shared" si="65"/>
        <v>197.00631260422932</v>
      </c>
      <c r="V60" s="16">
        <f t="shared" si="65"/>
        <v>229.34246400000001</v>
      </c>
      <c r="W60" s="16">
        <f t="shared" si="65"/>
        <v>229.34246400000001</v>
      </c>
      <c r="X60" s="16">
        <f t="shared" si="65"/>
        <v>229.34246399999998</v>
      </c>
      <c r="Y60" s="16">
        <f t="shared" si="65"/>
        <v>298.83974400000005</v>
      </c>
      <c r="Z60" s="16">
        <f t="shared" si="65"/>
        <v>298.839744</v>
      </c>
      <c r="AA60" s="16">
        <f t="shared" si="65"/>
        <v>298.83974400000005</v>
      </c>
      <c r="AB60" s="17">
        <f t="shared" ref="AB60:AB62" si="66">SUM(P60:AA60)</f>
        <v>2817.2324966366928</v>
      </c>
      <c r="AC60" s="16">
        <f t="shared" ref="AC60:AF62" si="67">+AC48*AC40*AC$37*24</f>
        <v>591.01893781268814</v>
      </c>
      <c r="AD60" s="16">
        <f t="shared" si="67"/>
        <v>688.02739199999996</v>
      </c>
      <c r="AE60" s="16">
        <f t="shared" si="67"/>
        <v>580.65810753887331</v>
      </c>
      <c r="AF60" s="16">
        <f t="shared" si="67"/>
        <v>409.36063999999999</v>
      </c>
      <c r="AG60" s="17">
        <f>SUM(AC60:AF60)</f>
        <v>2269.0650773515613</v>
      </c>
      <c r="AH60" s="16">
        <f t="shared" ref="AH60:AH62" si="68">+AH48*AH40*AH$37*24</f>
        <v>0</v>
      </c>
    </row>
    <row r="61" spans="1:34" x14ac:dyDescent="0.3">
      <c r="A61" s="58" t="s">
        <v>62</v>
      </c>
      <c r="B61" s="11" t="s">
        <v>66</v>
      </c>
      <c r="C61" s="16">
        <f t="shared" si="63"/>
        <v>168.5061717450956</v>
      </c>
      <c r="D61" s="16">
        <f t="shared" si="63"/>
        <v>229.92971564196037</v>
      </c>
      <c r="E61" s="16">
        <f t="shared" si="63"/>
        <v>284.20420580637443</v>
      </c>
      <c r="F61" s="16">
        <f t="shared" si="63"/>
        <v>302.83964277195912</v>
      </c>
      <c r="G61" s="16">
        <f t="shared" si="63"/>
        <v>278.60242031908001</v>
      </c>
      <c r="H61" s="16">
        <f t="shared" si="63"/>
        <v>272.91050363784638</v>
      </c>
      <c r="I61" s="16">
        <f t="shared" si="63"/>
        <v>221.62573106646516</v>
      </c>
      <c r="J61" s="16">
        <f t="shared" si="63"/>
        <v>261.96418554539599</v>
      </c>
      <c r="K61" s="16">
        <f t="shared" si="63"/>
        <v>221.03110486760721</v>
      </c>
      <c r="L61" s="16">
        <f t="shared" si="63"/>
        <v>256.49735439210679</v>
      </c>
      <c r="M61" s="16">
        <f t="shared" si="63"/>
        <v>269.15107965585275</v>
      </c>
      <c r="N61" s="16">
        <f t="shared" si="63"/>
        <v>308.54314875890077</v>
      </c>
      <c r="O61" s="17">
        <f t="shared" si="64"/>
        <v>3075.8052642086445</v>
      </c>
      <c r="P61" s="16">
        <f t="shared" si="65"/>
        <v>235.23169214421588</v>
      </c>
      <c r="Q61" s="16">
        <f t="shared" si="65"/>
        <v>145.69674318551995</v>
      </c>
      <c r="R61" s="16">
        <f t="shared" si="65"/>
        <v>229.17888506669044</v>
      </c>
      <c r="S61" s="16">
        <f t="shared" si="65"/>
        <v>297.71946019577064</v>
      </c>
      <c r="T61" s="16">
        <f t="shared" si="65"/>
        <v>301.67946019577073</v>
      </c>
      <c r="U61" s="16">
        <f t="shared" si="65"/>
        <v>281.1994601957706</v>
      </c>
      <c r="V61" s="16">
        <f t="shared" si="65"/>
        <v>262.24463360000004</v>
      </c>
      <c r="W61" s="16">
        <f t="shared" si="65"/>
        <v>254.96463360000001</v>
      </c>
      <c r="X61" s="16">
        <f t="shared" si="65"/>
        <v>259.44463360000003</v>
      </c>
      <c r="Y61" s="16">
        <f t="shared" si="65"/>
        <v>167.99406506666665</v>
      </c>
      <c r="Z61" s="16">
        <f t="shared" si="65"/>
        <v>254.07406506666663</v>
      </c>
      <c r="AA61" s="16">
        <f t="shared" si="65"/>
        <v>254.07406506666666</v>
      </c>
      <c r="AB61" s="17">
        <f t="shared" si="66"/>
        <v>2943.5017969837386</v>
      </c>
      <c r="AC61" s="16">
        <f t="shared" si="67"/>
        <v>858.38669951999975</v>
      </c>
      <c r="AD61" s="16">
        <f t="shared" si="67"/>
        <v>844.13280312278971</v>
      </c>
      <c r="AE61" s="16">
        <f t="shared" si="67"/>
        <v>858.09937919999993</v>
      </c>
      <c r="AF61" s="16">
        <f t="shared" si="67"/>
        <v>853.80041600000277</v>
      </c>
      <c r="AG61" s="17">
        <f t="shared" ref="AG61:AG62" si="69">SUM(AC61:AF61)</f>
        <v>3414.4192978427923</v>
      </c>
      <c r="AH61" s="16">
        <f t="shared" si="68"/>
        <v>400.12</v>
      </c>
    </row>
    <row r="62" spans="1:34" x14ac:dyDescent="0.3">
      <c r="A62" s="58" t="s">
        <v>62</v>
      </c>
      <c r="B62" s="11" t="s">
        <v>67</v>
      </c>
      <c r="C62" s="16">
        <f t="shared" si="63"/>
        <v>0</v>
      </c>
      <c r="D62" s="16">
        <f t="shared" si="63"/>
        <v>239.42115639727831</v>
      </c>
      <c r="E62" s="16">
        <f t="shared" si="63"/>
        <v>172.61235830372738</v>
      </c>
      <c r="F62" s="16">
        <f t="shared" si="63"/>
        <v>214.21586499527916</v>
      </c>
      <c r="G62" s="16">
        <f t="shared" si="63"/>
        <v>208.952143566563</v>
      </c>
      <c r="H62" s="16">
        <f t="shared" si="63"/>
        <v>177.0888256043155</v>
      </c>
      <c r="I62" s="16">
        <f t="shared" si="63"/>
        <v>284.37134800615047</v>
      </c>
      <c r="J62" s="16">
        <f t="shared" si="63"/>
        <v>336.67500874195218</v>
      </c>
      <c r="K62" s="16">
        <f t="shared" si="63"/>
        <v>307.26871382736124</v>
      </c>
      <c r="L62" s="16">
        <f t="shared" si="63"/>
        <v>321.00723395110924</v>
      </c>
      <c r="M62" s="16">
        <f t="shared" si="63"/>
        <v>301.82432036195519</v>
      </c>
      <c r="N62" s="16">
        <f t="shared" si="63"/>
        <v>201.82432036195399</v>
      </c>
      <c r="O62" s="17">
        <f t="shared" si="64"/>
        <v>2765.2612941176458</v>
      </c>
      <c r="P62" s="16">
        <f t="shared" si="65"/>
        <v>80.64</v>
      </c>
      <c r="Q62" s="16">
        <f t="shared" si="65"/>
        <v>97.839999999999989</v>
      </c>
      <c r="R62" s="16">
        <f t="shared" si="65"/>
        <v>77.399999999999991</v>
      </c>
      <c r="S62" s="16">
        <f t="shared" si="65"/>
        <v>142.4</v>
      </c>
      <c r="T62" s="16">
        <f t="shared" si="65"/>
        <v>138.44</v>
      </c>
      <c r="U62" s="16">
        <f t="shared" si="65"/>
        <v>158.91999999999999</v>
      </c>
      <c r="V62" s="16">
        <f t="shared" si="65"/>
        <v>111.75999999999999</v>
      </c>
      <c r="W62" s="16">
        <f t="shared" si="65"/>
        <v>119.03999999999999</v>
      </c>
      <c r="X62" s="16">
        <f t="shared" si="65"/>
        <v>114.56</v>
      </c>
      <c r="Y62" s="16">
        <f t="shared" si="65"/>
        <v>86.08</v>
      </c>
      <c r="Z62" s="16">
        <f t="shared" si="65"/>
        <v>0</v>
      </c>
      <c r="AA62" s="16">
        <f t="shared" si="65"/>
        <v>0</v>
      </c>
      <c r="AB62" s="17">
        <f t="shared" si="66"/>
        <v>1127.08</v>
      </c>
      <c r="AC62" s="16">
        <f t="shared" si="67"/>
        <v>367.88001408000002</v>
      </c>
      <c r="AD62" s="16">
        <f t="shared" si="67"/>
        <v>361.77120133833841</v>
      </c>
      <c r="AE62" s="16">
        <f t="shared" si="67"/>
        <v>367.75687679999993</v>
      </c>
      <c r="AF62" s="16">
        <f t="shared" si="67"/>
        <v>365.91446400000115</v>
      </c>
      <c r="AG62" s="17">
        <f t="shared" si="69"/>
        <v>1463.3225562183395</v>
      </c>
      <c r="AH62" s="16">
        <f t="shared" si="68"/>
        <v>640</v>
      </c>
    </row>
    <row r="63" spans="1:34" x14ac:dyDescent="0.3">
      <c r="O63" s="63"/>
      <c r="AB63" s="63"/>
      <c r="AG63" s="61"/>
    </row>
    <row r="64" spans="1:34" x14ac:dyDescent="0.3">
      <c r="A64" s="58" t="s">
        <v>69</v>
      </c>
      <c r="B64" s="11" t="s">
        <v>65</v>
      </c>
      <c r="C64" s="16">
        <f>+C56*C60</f>
        <v>5471.4717988096199</v>
      </c>
      <c r="D64" s="16">
        <f t="shared" ref="D64:N66" si="70">+D56*D60</f>
        <v>4783.76898146235</v>
      </c>
      <c r="E64" s="16">
        <f t="shared" si="70"/>
        <v>6691.9679999999998</v>
      </c>
      <c r="F64" s="16">
        <f t="shared" si="70"/>
        <v>6996.5627001009861</v>
      </c>
      <c r="G64" s="16">
        <f t="shared" si="70"/>
        <v>7742.16468204185</v>
      </c>
      <c r="H64" s="16">
        <f t="shared" si="70"/>
        <v>6671.4776357412302</v>
      </c>
      <c r="I64" s="16">
        <f t="shared" si="70"/>
        <v>4381.8121076487005</v>
      </c>
      <c r="J64" s="16">
        <f t="shared" si="70"/>
        <v>7570.5286891665291</v>
      </c>
      <c r="K64" s="16">
        <f t="shared" si="70"/>
        <v>2610.7335312962496</v>
      </c>
      <c r="L64" s="16">
        <f t="shared" si="70"/>
        <v>6950.5413122624204</v>
      </c>
      <c r="M64" s="16">
        <f t="shared" si="70"/>
        <v>5820.9356920048504</v>
      </c>
      <c r="N64" s="16">
        <f t="shared" si="70"/>
        <v>5300.1670284893507</v>
      </c>
      <c r="O64" s="17">
        <f>SUM(C64:N64)</f>
        <v>70992.132159024142</v>
      </c>
      <c r="P64" s="16">
        <f>+P56*P60</f>
        <v>5109.178983479741</v>
      </c>
      <c r="Q64" s="16">
        <f t="shared" ref="Q64:AA66" si="71">+Q56*Q60</f>
        <v>4859.2548917233516</v>
      </c>
      <c r="R64" s="16">
        <f t="shared" si="71"/>
        <v>6073.2394953970243</v>
      </c>
      <c r="S64" s="16">
        <f t="shared" si="71"/>
        <v>4925.1578151057329</v>
      </c>
      <c r="T64" s="16">
        <f t="shared" si="71"/>
        <v>4925.1578151057338</v>
      </c>
      <c r="U64" s="16">
        <f t="shared" si="71"/>
        <v>4925.1578151057329</v>
      </c>
      <c r="V64" s="16">
        <f t="shared" si="71"/>
        <v>5733.5616</v>
      </c>
      <c r="W64" s="16">
        <f t="shared" si="71"/>
        <v>5733.5616</v>
      </c>
      <c r="X64" s="16">
        <f t="shared" si="71"/>
        <v>5733.5615999999991</v>
      </c>
      <c r="Y64" s="16">
        <f t="shared" si="71"/>
        <v>7470.9936000000016</v>
      </c>
      <c r="Z64" s="16">
        <f t="shared" si="71"/>
        <v>7470.9935999999998</v>
      </c>
      <c r="AA64" s="16">
        <f t="shared" si="71"/>
        <v>7470.9936000000016</v>
      </c>
      <c r="AB64" s="17">
        <f>SUM(P64:AA64)</f>
        <v>70430.812415917317</v>
      </c>
      <c r="AC64" s="16">
        <f t="shared" ref="AC64:AF66" si="72">+AC56*AC60</f>
        <v>14775.473445317204</v>
      </c>
      <c r="AD64" s="16">
        <f t="shared" si="72"/>
        <v>17200.684799999999</v>
      </c>
      <c r="AE64" s="16">
        <f t="shared" si="72"/>
        <v>14516.452688471833</v>
      </c>
      <c r="AF64" s="16">
        <f t="shared" si="72"/>
        <v>10234.016</v>
      </c>
      <c r="AG64" s="17">
        <f>SUM(AC64:AF64)</f>
        <v>56726.626933789041</v>
      </c>
      <c r="AH64" s="16">
        <f t="shared" ref="AH64:AH65" si="73">+AH56*AH60</f>
        <v>0</v>
      </c>
    </row>
    <row r="65" spans="1:34" x14ac:dyDescent="0.3">
      <c r="A65" s="58" t="s">
        <v>69</v>
      </c>
      <c r="B65" s="11" t="s">
        <v>66</v>
      </c>
      <c r="C65" s="16">
        <f>+C57*C61</f>
        <v>4212.65429362739</v>
      </c>
      <c r="D65" s="16">
        <f t="shared" si="70"/>
        <v>5748.2428910490089</v>
      </c>
      <c r="E65" s="16">
        <f t="shared" si="70"/>
        <v>7105.1051451593612</v>
      </c>
      <c r="F65" s="16">
        <f t="shared" si="70"/>
        <v>7570.9910692989779</v>
      </c>
      <c r="G65" s="16">
        <f t="shared" si="70"/>
        <v>6965.0605079770003</v>
      </c>
      <c r="H65" s="16">
        <f t="shared" si="70"/>
        <v>6822.7625909461594</v>
      </c>
      <c r="I65" s="16">
        <f t="shared" si="70"/>
        <v>5540.643276661629</v>
      </c>
      <c r="J65" s="16">
        <f t="shared" si="70"/>
        <v>6549.1046386348999</v>
      </c>
      <c r="K65" s="16">
        <f t="shared" si="70"/>
        <v>5525.7776216901802</v>
      </c>
      <c r="L65" s="16">
        <f t="shared" si="70"/>
        <v>6412.4338598026698</v>
      </c>
      <c r="M65" s="16">
        <f t="shared" si="70"/>
        <v>6728.7769913963184</v>
      </c>
      <c r="N65" s="16">
        <f t="shared" si="70"/>
        <v>7713.5787189725197</v>
      </c>
      <c r="O65" s="17">
        <f t="shared" ref="O65:O66" si="74">SUM(C65:N65)</f>
        <v>76895.131605216113</v>
      </c>
      <c r="P65" s="16">
        <f>+P57*P61</f>
        <v>5880.7923036053971</v>
      </c>
      <c r="Q65" s="16">
        <f t="shared" si="71"/>
        <v>3642.4185796379988</v>
      </c>
      <c r="R65" s="16">
        <f t="shared" si="71"/>
        <v>5729.4721266672614</v>
      </c>
      <c r="S65" s="16">
        <f t="shared" si="71"/>
        <v>7442.9865048942656</v>
      </c>
      <c r="T65" s="16">
        <f t="shared" si="71"/>
        <v>7541.9865048942684</v>
      </c>
      <c r="U65" s="16">
        <f t="shared" si="71"/>
        <v>7029.9865048942647</v>
      </c>
      <c r="V65" s="16">
        <f t="shared" si="71"/>
        <v>6556.1158400000013</v>
      </c>
      <c r="W65" s="16">
        <f t="shared" si="71"/>
        <v>6374.1158400000004</v>
      </c>
      <c r="X65" s="16">
        <f t="shared" si="71"/>
        <v>6486.1158400000004</v>
      </c>
      <c r="Y65" s="16">
        <f t="shared" si="71"/>
        <v>4199.8516266666666</v>
      </c>
      <c r="Z65" s="16">
        <f t="shared" si="71"/>
        <v>6351.8516266666657</v>
      </c>
      <c r="AA65" s="16">
        <f t="shared" si="71"/>
        <v>6351.8516266666666</v>
      </c>
      <c r="AB65" s="17">
        <f t="shared" ref="AB65:AB67" si="75">SUM(P65:AA65)</f>
        <v>73587.544924593458</v>
      </c>
      <c r="AC65" s="16">
        <f t="shared" si="72"/>
        <v>21459.667487999996</v>
      </c>
      <c r="AD65" s="16">
        <f t="shared" si="72"/>
        <v>21103.320078069744</v>
      </c>
      <c r="AE65" s="16">
        <f t="shared" si="72"/>
        <v>21452.484479999999</v>
      </c>
      <c r="AF65" s="16">
        <f t="shared" si="72"/>
        <v>21345.010400000068</v>
      </c>
      <c r="AG65" s="17">
        <f t="shared" ref="AG65:AG67" si="76">SUM(AC65:AF65)</f>
        <v>85360.482446069815</v>
      </c>
      <c r="AH65" s="16">
        <f t="shared" si="73"/>
        <v>10003</v>
      </c>
    </row>
    <row r="66" spans="1:34" x14ac:dyDescent="0.3">
      <c r="A66" s="58" t="s">
        <v>69</v>
      </c>
      <c r="B66" s="11" t="s">
        <v>67</v>
      </c>
      <c r="C66" s="16">
        <f>+C58*C62</f>
        <v>0</v>
      </c>
      <c r="D66" s="16">
        <f t="shared" si="70"/>
        <v>5985.528909931958</v>
      </c>
      <c r="E66" s="16">
        <f t="shared" si="70"/>
        <v>4315.3089575931845</v>
      </c>
      <c r="F66" s="16">
        <f t="shared" si="70"/>
        <v>5355.3966248819788</v>
      </c>
      <c r="G66" s="16">
        <f t="shared" si="70"/>
        <v>5223.8035891640748</v>
      </c>
      <c r="H66" s="16">
        <f t="shared" si="70"/>
        <v>4427.2206401078874</v>
      </c>
      <c r="I66" s="16">
        <f t="shared" si="70"/>
        <v>7109.2837001537619</v>
      </c>
      <c r="J66" s="16">
        <f t="shared" si="70"/>
        <v>8416.8752185488047</v>
      </c>
      <c r="K66" s="16">
        <f t="shared" si="70"/>
        <v>7681.7178456840311</v>
      </c>
      <c r="L66" s="16">
        <f t="shared" si="70"/>
        <v>8025.1808487777307</v>
      </c>
      <c r="M66" s="16">
        <f t="shared" si="70"/>
        <v>7545.6080090488795</v>
      </c>
      <c r="N66" s="16">
        <f t="shared" si="70"/>
        <v>5045.6080090488495</v>
      </c>
      <c r="O66" s="17">
        <f t="shared" si="74"/>
        <v>69131.532352941154</v>
      </c>
      <c r="P66" s="16">
        <f>+P58*P62</f>
        <v>2016</v>
      </c>
      <c r="Q66" s="16">
        <f t="shared" si="71"/>
        <v>2445.9999999999995</v>
      </c>
      <c r="R66" s="16">
        <f t="shared" si="71"/>
        <v>1934.9999999999998</v>
      </c>
      <c r="S66" s="16">
        <f t="shared" si="71"/>
        <v>3560</v>
      </c>
      <c r="T66" s="16">
        <f t="shared" si="71"/>
        <v>3461</v>
      </c>
      <c r="U66" s="16">
        <f t="shared" si="71"/>
        <v>3972.9999999999995</v>
      </c>
      <c r="V66" s="16">
        <f t="shared" si="71"/>
        <v>2794</v>
      </c>
      <c r="W66" s="16">
        <f t="shared" si="71"/>
        <v>2976</v>
      </c>
      <c r="X66" s="16">
        <f t="shared" si="71"/>
        <v>2864</v>
      </c>
      <c r="Y66" s="16">
        <f t="shared" si="71"/>
        <v>2152</v>
      </c>
      <c r="Z66" s="16">
        <f t="shared" si="71"/>
        <v>0</v>
      </c>
      <c r="AA66" s="16">
        <f t="shared" si="71"/>
        <v>0</v>
      </c>
      <c r="AB66" s="17">
        <f t="shared" si="75"/>
        <v>28177</v>
      </c>
      <c r="AC66" s="16">
        <f t="shared" si="72"/>
        <v>9197.0003520000009</v>
      </c>
      <c r="AD66" s="16">
        <f t="shared" si="72"/>
        <v>9044.2800334584608</v>
      </c>
      <c r="AE66" s="16">
        <f t="shared" si="72"/>
        <v>9193.9219199999989</v>
      </c>
      <c r="AF66" s="16">
        <f t="shared" si="72"/>
        <v>9147.8616000000293</v>
      </c>
      <c r="AG66" s="17">
        <f t="shared" si="76"/>
        <v>36583.06390545849</v>
      </c>
      <c r="AH66" s="16">
        <f>+AH58*AH62</f>
        <v>16000</v>
      </c>
    </row>
    <row r="67" spans="1:34" x14ac:dyDescent="0.3">
      <c r="A67" s="58" t="s">
        <v>69</v>
      </c>
      <c r="B67" s="11" t="s">
        <v>64</v>
      </c>
      <c r="C67" s="16">
        <f t="shared" ref="C67:N67" si="77">SUM(C64:C66)</f>
        <v>9684.1260924370108</v>
      </c>
      <c r="D67" s="16">
        <f t="shared" si="77"/>
        <v>16517.540782443317</v>
      </c>
      <c r="E67" s="16">
        <f t="shared" si="77"/>
        <v>18112.382102752545</v>
      </c>
      <c r="F67" s="16">
        <f t="shared" si="77"/>
        <v>19922.950394281943</v>
      </c>
      <c r="G67" s="16">
        <f t="shared" si="77"/>
        <v>19931.028779182925</v>
      </c>
      <c r="H67" s="16">
        <f t="shared" si="77"/>
        <v>17921.460866795278</v>
      </c>
      <c r="I67" s="16">
        <f t="shared" si="77"/>
        <v>17031.73908446409</v>
      </c>
      <c r="J67" s="16">
        <f t="shared" si="77"/>
        <v>22536.508546350233</v>
      </c>
      <c r="K67" s="16">
        <f t="shared" si="77"/>
        <v>15818.22899867046</v>
      </c>
      <c r="L67" s="16">
        <f t="shared" si="77"/>
        <v>21388.15602084282</v>
      </c>
      <c r="M67" s="16">
        <f t="shared" si="77"/>
        <v>20095.320692450048</v>
      </c>
      <c r="N67" s="16">
        <f t="shared" si="77"/>
        <v>18059.353756510722</v>
      </c>
      <c r="O67" s="17">
        <f>SUM(C67:N67)</f>
        <v>217018.79611718137</v>
      </c>
      <c r="P67" s="16">
        <f t="shared" ref="P67:AA67" si="78">SUM(P64:P66)</f>
        <v>13005.971287085138</v>
      </c>
      <c r="Q67" s="16">
        <f t="shared" si="78"/>
        <v>10947.673471361351</v>
      </c>
      <c r="R67" s="16">
        <f t="shared" si="78"/>
        <v>13737.711622064286</v>
      </c>
      <c r="S67" s="16">
        <f t="shared" si="78"/>
        <v>15928.144319999999</v>
      </c>
      <c r="T67" s="16">
        <f t="shared" si="78"/>
        <v>15928.144320000003</v>
      </c>
      <c r="U67" s="16">
        <f t="shared" si="78"/>
        <v>15928.144319999998</v>
      </c>
      <c r="V67" s="16">
        <f t="shared" si="78"/>
        <v>15083.677440000001</v>
      </c>
      <c r="W67" s="16">
        <f t="shared" si="78"/>
        <v>15083.677439999999</v>
      </c>
      <c r="X67" s="16">
        <f t="shared" si="78"/>
        <v>15083.677439999999</v>
      </c>
      <c r="Y67" s="16">
        <f t="shared" si="78"/>
        <v>13822.845226666668</v>
      </c>
      <c r="Z67" s="16">
        <f t="shared" si="78"/>
        <v>13822.845226666665</v>
      </c>
      <c r="AA67" s="16">
        <f t="shared" si="78"/>
        <v>13822.845226666668</v>
      </c>
      <c r="AB67" s="17">
        <f t="shared" si="75"/>
        <v>172195.35734051076</v>
      </c>
      <c r="AC67" s="16">
        <f t="shared" ref="AC67:AF67" si="79">SUM(AC64:AC66)</f>
        <v>45432.141285317201</v>
      </c>
      <c r="AD67" s="16">
        <f t="shared" si="79"/>
        <v>47348.284911528201</v>
      </c>
      <c r="AE67" s="16">
        <f t="shared" si="79"/>
        <v>45162.859088471836</v>
      </c>
      <c r="AF67" s="16">
        <f t="shared" si="79"/>
        <v>40726.888000000094</v>
      </c>
      <c r="AG67" s="17">
        <f t="shared" si="76"/>
        <v>178670.17328531732</v>
      </c>
      <c r="AH67" s="16">
        <f t="shared" ref="AH67" si="80">SUM(AH64:AH66)</f>
        <v>26003</v>
      </c>
    </row>
    <row r="97" spans="3:27" x14ac:dyDescent="0.3">
      <c r="C97" t="e">
        <f>(+#REF!/(C3*24*C40))</f>
        <v>#REF!</v>
      </c>
      <c r="D97" t="e">
        <f>(+#REF!/(D3*24*D40))</f>
        <v>#REF!</v>
      </c>
      <c r="E97" t="e">
        <f>(+#REF!/(E3*24*E40))</f>
        <v>#REF!</v>
      </c>
      <c r="F97" t="e">
        <f>(+#REF!/(F3*24*F40))</f>
        <v>#REF!</v>
      </c>
      <c r="G97" t="e">
        <f>(+#REF!/(G3*24*G40))</f>
        <v>#REF!</v>
      </c>
      <c r="H97" t="e">
        <f>(+#REF!/(H3*24*H40))</f>
        <v>#REF!</v>
      </c>
      <c r="I97" t="e">
        <f>(+#REF!/(I3*24*I40))</f>
        <v>#REF!</v>
      </c>
      <c r="J97" t="e">
        <f>(+#REF!/(J3*24*J40))</f>
        <v>#REF!</v>
      </c>
      <c r="K97" t="e">
        <f>(+#REF!/(K3*24*K40))</f>
        <v>#REF!</v>
      </c>
      <c r="L97" t="e">
        <f>(+#REF!/(L3*24*L40))</f>
        <v>#REF!</v>
      </c>
      <c r="M97" t="e">
        <f>(+#REF!/(M3*24*M40))</f>
        <v>#REF!</v>
      </c>
      <c r="N97" t="e">
        <f>(+#REF!/(N3*24*N40))</f>
        <v>#REF!</v>
      </c>
      <c r="P97" t="e">
        <f>(+#REF!/(P3*24*P40))</f>
        <v>#REF!</v>
      </c>
      <c r="Q97" t="e">
        <f>(+#REF!/(Q3*24*Q40))</f>
        <v>#REF!</v>
      </c>
      <c r="R97" t="e">
        <f>(+#REF!/(R3*24*R40))</f>
        <v>#REF!</v>
      </c>
      <c r="S97" t="e">
        <f>(+#REF!/(S3*24*S40))</f>
        <v>#REF!</v>
      </c>
      <c r="T97" t="e">
        <f>(+#REF!/(T3*24*T40))</f>
        <v>#REF!</v>
      </c>
      <c r="U97" t="e">
        <f>(+#REF!/(U3*24*U40))</f>
        <v>#REF!</v>
      </c>
      <c r="V97" t="e">
        <f>(+#REF!/(V3*24*V40))</f>
        <v>#REF!</v>
      </c>
      <c r="W97" t="e">
        <f>(+#REF!/(W3*24*W40))</f>
        <v>#REF!</v>
      </c>
      <c r="X97" t="e">
        <f>(+#REF!/(X3*24*X40))</f>
        <v>#REF!</v>
      </c>
      <c r="Y97" t="e">
        <f>(+#REF!/(Y3*24*Y40))</f>
        <v>#REF!</v>
      </c>
      <c r="Z97" t="e">
        <f>(+#REF!/(Z3*24*Z40))</f>
        <v>#REF!</v>
      </c>
      <c r="AA97" t="e">
        <f>(+#REF!/(AA3*24*AA40))</f>
        <v>#REF!</v>
      </c>
    </row>
    <row r="98" spans="3:27" x14ac:dyDescent="0.3">
      <c r="C98" t="e">
        <f>(+#REF!/(C3*24*C41))</f>
        <v>#REF!</v>
      </c>
      <c r="D98" t="e">
        <f>(+#REF!/(D3*24*D41))</f>
        <v>#REF!</v>
      </c>
      <c r="E98" t="e">
        <f>(+#REF!/(E3*24*E41))</f>
        <v>#REF!</v>
      </c>
      <c r="F98" t="e">
        <f>(+#REF!/(F3*24*F41))</f>
        <v>#REF!</v>
      </c>
      <c r="G98" t="e">
        <f>(+#REF!/(G3*24*G41))</f>
        <v>#REF!</v>
      </c>
      <c r="H98" t="e">
        <f>(+#REF!/(H3*24*H41))</f>
        <v>#REF!</v>
      </c>
      <c r="I98" t="e">
        <f>(+#REF!/(I3*24*I41))</f>
        <v>#REF!</v>
      </c>
      <c r="J98" t="e">
        <f>(+#REF!/(J3*24*J41))</f>
        <v>#REF!</v>
      </c>
      <c r="K98" t="e">
        <f>(+#REF!/(K3*24*K41))</f>
        <v>#REF!</v>
      </c>
      <c r="L98" t="e">
        <f>(+#REF!/(L3*24*L41))</f>
        <v>#REF!</v>
      </c>
      <c r="M98" t="e">
        <f>(+#REF!/(M3*24*M41))</f>
        <v>#REF!</v>
      </c>
      <c r="N98" t="e">
        <f>(+#REF!/(N3*24*N41))</f>
        <v>#REF!</v>
      </c>
      <c r="P98" t="e">
        <f>(+#REF!/(P3*24*P41))</f>
        <v>#REF!</v>
      </c>
      <c r="Q98" t="e">
        <f>(+#REF!/(Q3*24*Q41))</f>
        <v>#REF!</v>
      </c>
      <c r="R98" t="e">
        <f>(+#REF!/(R3*24*R41))</f>
        <v>#REF!</v>
      </c>
      <c r="S98" t="e">
        <f>(+#REF!/(S3*24*S41))</f>
        <v>#REF!</v>
      </c>
      <c r="T98" t="e">
        <f>(+#REF!/(T3*24*T41))</f>
        <v>#REF!</v>
      </c>
      <c r="U98" t="e">
        <f>(+#REF!/(U3*24*U41))</f>
        <v>#REF!</v>
      </c>
      <c r="V98" t="e">
        <f>(+#REF!/(V3*24*V41))</f>
        <v>#REF!</v>
      </c>
      <c r="W98" t="e">
        <f>(+#REF!/(W3*24*W41))</f>
        <v>#REF!</v>
      </c>
      <c r="X98" t="e">
        <f>(+#REF!/(X3*24*X41))</f>
        <v>#REF!</v>
      </c>
      <c r="Y98" t="e">
        <f>(+#REF!/(Y3*24*Y41))</f>
        <v>#REF!</v>
      </c>
      <c r="Z98" t="e">
        <f>(+#REF!/(Z3*24*Z41))</f>
        <v>#REF!</v>
      </c>
      <c r="AA98" t="e">
        <f>(+#REF!/(AA3*24*AA41))</f>
        <v>#REF!</v>
      </c>
    </row>
    <row r="99" spans="3:27" x14ac:dyDescent="0.3">
      <c r="C99" t="e">
        <f>(+#REF!/(C3*24*C42))</f>
        <v>#REF!</v>
      </c>
      <c r="D99" t="e">
        <f>(+#REF!/(D3*24*D42))</f>
        <v>#REF!</v>
      </c>
      <c r="E99" t="e">
        <f>(+#REF!/(E3*24*E42))</f>
        <v>#REF!</v>
      </c>
      <c r="F99" t="e">
        <f>(+#REF!/(F3*24*F42))</f>
        <v>#REF!</v>
      </c>
      <c r="G99" t="e">
        <f>(+#REF!/(G3*24*G42))</f>
        <v>#REF!</v>
      </c>
      <c r="H99" t="e">
        <f>(+#REF!/(H3*24*H42))</f>
        <v>#REF!</v>
      </c>
      <c r="I99" t="e">
        <f>(+#REF!/(I3*24*I42))</f>
        <v>#REF!</v>
      </c>
      <c r="J99" t="e">
        <f>(+#REF!/(J3*24*J42))</f>
        <v>#REF!</v>
      </c>
      <c r="K99" t="e">
        <f>(+#REF!/(K3*24*K42))</f>
        <v>#REF!</v>
      </c>
      <c r="L99" t="e">
        <f>(+#REF!/(L3*24*L42))</f>
        <v>#REF!</v>
      </c>
      <c r="M99" t="e">
        <f>(+#REF!/(M3*24*M42))</f>
        <v>#REF!</v>
      </c>
      <c r="N99" t="e">
        <f>(+#REF!/(N3*24*N42))</f>
        <v>#REF!</v>
      </c>
      <c r="P99" t="e">
        <f>(+#REF!/(P3*24*P42))</f>
        <v>#REF!</v>
      </c>
      <c r="Q99" t="e">
        <f>(+#REF!/(Q3*24*Q42))</f>
        <v>#REF!</v>
      </c>
      <c r="R99" t="e">
        <f>(+#REF!/(R3*24*R42))</f>
        <v>#REF!</v>
      </c>
      <c r="S99" t="e">
        <f>(+#REF!/(S3*24*S42))</f>
        <v>#REF!</v>
      </c>
      <c r="T99" t="e">
        <f>(+#REF!/(T3*24*T42))</f>
        <v>#REF!</v>
      </c>
      <c r="U99" t="e">
        <f>(+#REF!/(U3*24*U42))</f>
        <v>#REF!</v>
      </c>
      <c r="V99" t="e">
        <f>(+#REF!/(V3*24*V42))</f>
        <v>#REF!</v>
      </c>
      <c r="W99" t="e">
        <f>(+#REF!/(W3*24*W42))</f>
        <v>#REF!</v>
      </c>
      <c r="X99" t="e">
        <f>(+#REF!/(X3*24*X42))</f>
        <v>#REF!</v>
      </c>
      <c r="Y99" t="e">
        <f>(+#REF!/(Y3*24*Y42))</f>
        <v>#REF!</v>
      </c>
      <c r="Z99" t="e">
        <f>(+#REF!/(Z3*24*Z42))</f>
        <v>#REF!</v>
      </c>
      <c r="AA99" t="e">
        <f>(+#REF!/(AA3*24*AA42))</f>
        <v>#REF!</v>
      </c>
    </row>
    <row r="100" spans="3:27" x14ac:dyDescent="0.3">
      <c r="C100" t="e">
        <f>+#REF!/(C3*24*C8)</f>
        <v>#REF!</v>
      </c>
      <c r="D100" t="e">
        <f>+#REF!/(D3*24*D8)</f>
        <v>#REF!</v>
      </c>
      <c r="E100" t="e">
        <f>+#REF!/(E3*24*E8)</f>
        <v>#REF!</v>
      </c>
      <c r="F100" t="e">
        <f>+#REF!/(F3*24*F8)</f>
        <v>#REF!</v>
      </c>
      <c r="G100" t="e">
        <f>+#REF!/(G3*24*G8)</f>
        <v>#REF!</v>
      </c>
      <c r="H100" t="e">
        <f>+#REF!/(H3*24*H8)</f>
        <v>#REF!</v>
      </c>
      <c r="I100" t="e">
        <f>+#REF!/(I3*24*I8)</f>
        <v>#REF!</v>
      </c>
      <c r="J100" t="e">
        <f>+#REF!/(J3*24*J8)</f>
        <v>#REF!</v>
      </c>
      <c r="K100" t="e">
        <f>+#REF!/(K3*24*K8)</f>
        <v>#REF!</v>
      </c>
      <c r="L100" t="e">
        <f>+#REF!/(L3*24*L8)</f>
        <v>#REF!</v>
      </c>
      <c r="M100" t="e">
        <f>+#REF!/(M3*24*M8)</f>
        <v>#REF!</v>
      </c>
      <c r="N100" t="e">
        <f>+#REF!/(N3*24*N8)</f>
        <v>#REF!</v>
      </c>
      <c r="O100" t="e">
        <f>+#REF!/(O3*24*O8)</f>
        <v>#REF!</v>
      </c>
      <c r="P100" t="e">
        <f>+#REF!/(P3*24*P8)</f>
        <v>#REF!</v>
      </c>
      <c r="Q100" t="e">
        <f>+#REF!/(Q3*24*Q8)</f>
        <v>#REF!</v>
      </c>
      <c r="R100" t="e">
        <f>+#REF!/(R3*24*R8)</f>
        <v>#REF!</v>
      </c>
      <c r="S100" t="e">
        <f>+#REF!/(S3*24*S8)</f>
        <v>#REF!</v>
      </c>
      <c r="T100" t="e">
        <f>+#REF!/(T3*24*T8)</f>
        <v>#REF!</v>
      </c>
      <c r="U100" t="e">
        <f>+#REF!/(U3*24*U8)</f>
        <v>#REF!</v>
      </c>
      <c r="V100" t="e">
        <f>+#REF!/(V3*24*V8)</f>
        <v>#REF!</v>
      </c>
      <c r="W100" t="e">
        <f>+#REF!/(W3*24*W8)</f>
        <v>#REF!</v>
      </c>
      <c r="X100" t="e">
        <f>+#REF!/(X3*24*X8)</f>
        <v>#REF!</v>
      </c>
      <c r="Y100" t="e">
        <f>+#REF!/(Y3*24*Y8)</f>
        <v>#REF!</v>
      </c>
      <c r="Z100" t="e">
        <f>+#REF!/(Z3*24*Z8)</f>
        <v>#REF!</v>
      </c>
      <c r="AA100" t="e">
        <f>+#REF!/(AA3*24*AA8)</f>
        <v>#REF!</v>
      </c>
    </row>
    <row r="101" spans="3:27" x14ac:dyDescent="0.3">
      <c r="P101" t="e">
        <f>+#REF!/(P3*24*P7)</f>
        <v>#REF!</v>
      </c>
      <c r="Q101" t="e">
        <f>+#REF!/(Q3*24*Q7)</f>
        <v>#REF!</v>
      </c>
      <c r="R101" t="e">
        <f>+#REF!/(R3*24*R7)</f>
        <v>#REF!</v>
      </c>
      <c r="S101" t="e">
        <f>+#REF!/(S3*24*S7)</f>
        <v>#REF!</v>
      </c>
      <c r="T101" t="e">
        <f>+#REF!/(T3*24*T7)</f>
        <v>#REF!</v>
      </c>
      <c r="U101" t="e">
        <f>+#REF!/(U3*24*U7)</f>
        <v>#REF!</v>
      </c>
      <c r="V101" t="e">
        <f>+#REF!/(V3*24*V7)</f>
        <v>#REF!</v>
      </c>
      <c r="W101" t="e">
        <f>+#REF!/(W3*24*W7)</f>
        <v>#REF!</v>
      </c>
      <c r="X101" t="e">
        <f>+#REF!/(X3*24*X7)</f>
        <v>#REF!</v>
      </c>
      <c r="Y101" t="e">
        <f>+#REF!/(Y3*24*Y7)</f>
        <v>#REF!</v>
      </c>
      <c r="Z101" t="e">
        <f>+#REF!/(Z3*24*Z7)</f>
        <v>#REF!</v>
      </c>
      <c r="AA101" t="e">
        <f>+#REF!/(AA3*24*AA7)</f>
        <v>#REF!</v>
      </c>
    </row>
  </sheetData>
  <phoneticPr fontId="14" type="noConversion"/>
  <conditionalFormatting sqref="C6:N8 AH6:AH8 AH10:AH11 AH40:AH42 AH44:AH46">
    <cfRule type="expression" dxfId="14" priority="17">
      <formula>C1&lt;0</formula>
    </cfRule>
  </conditionalFormatting>
  <conditionalFormatting sqref="C10:N11">
    <cfRule type="expression" dxfId="13" priority="19">
      <formula>C5&lt;0</formula>
    </cfRule>
  </conditionalFormatting>
  <conditionalFormatting sqref="C40:N42">
    <cfRule type="expression" dxfId="12" priority="13">
      <formula>C35&lt;0</formula>
    </cfRule>
  </conditionalFormatting>
  <conditionalFormatting sqref="C44:N46">
    <cfRule type="expression" dxfId="11" priority="18">
      <formula>C39&lt;0</formula>
    </cfRule>
  </conditionalFormatting>
  <conditionalFormatting sqref="C48:N50">
    <cfRule type="cellIs" dxfId="10" priority="1" operator="equal">
      <formula>$AD$44</formula>
    </cfRule>
  </conditionalFormatting>
  <conditionalFormatting sqref="P48:P50">
    <cfRule type="cellIs" dxfId="9" priority="2" operator="equal">
      <formula>$AD$44</formula>
    </cfRule>
  </conditionalFormatting>
  <conditionalFormatting sqref="P6:AA8">
    <cfRule type="expression" dxfId="8" priority="16">
      <formula>P1&lt;0</formula>
    </cfRule>
  </conditionalFormatting>
  <conditionalFormatting sqref="P10:AA11">
    <cfRule type="expression" dxfId="7" priority="8">
      <formula>P5&lt;0</formula>
    </cfRule>
  </conditionalFormatting>
  <conditionalFormatting sqref="P40:AA42">
    <cfRule type="expression" dxfId="6" priority="12">
      <formula>P35&lt;0</formula>
    </cfRule>
  </conditionalFormatting>
  <conditionalFormatting sqref="P44:AA46">
    <cfRule type="expression" dxfId="5" priority="5">
      <formula>P39&lt;0</formula>
    </cfRule>
  </conditionalFormatting>
  <conditionalFormatting sqref="AC6:AF8">
    <cfRule type="expression" dxfId="4" priority="15">
      <formula>AC1&lt;0</formula>
    </cfRule>
  </conditionalFormatting>
  <conditionalFormatting sqref="AC10:AF11">
    <cfRule type="expression" dxfId="3" priority="7">
      <formula>AC5&lt;0</formula>
    </cfRule>
  </conditionalFormatting>
  <conditionalFormatting sqref="AC40:AF42">
    <cfRule type="expression" dxfId="2" priority="11">
      <formula>AC35&lt;0</formula>
    </cfRule>
  </conditionalFormatting>
  <conditionalFormatting sqref="AC44:AF46">
    <cfRule type="expression" dxfId="1" priority="4">
      <formula>AC39&lt;0</formula>
    </cfRule>
  </conditionalFormatting>
  <conditionalFormatting sqref="AH16">
    <cfRule type="cellIs" dxfId="0" priority="9" operator="equal">
      <formula>$AD$44</formula>
    </cfRule>
  </conditionalFormatting>
  <pageMargins left="0.7" right="0.7" top="0.75" bottom="0.75" header="0.3" footer="0.3"/>
  <pageSetup scale="34" orientation="landscape" r:id="rId1"/>
  <headerFooter>
    <oddHeader>&amp;R&amp;"Arial"&amp;8&amp;K000000 [OFFICIAL]&amp;1#_x000D_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36F8-F1A7-4493-957E-63B9939D9353}">
  <sheetPr>
    <pageSetUpPr fitToPage="1"/>
  </sheetPr>
  <dimension ref="B2:AI87"/>
  <sheetViews>
    <sheetView zoomScaleNormal="100" workbookViewId="0">
      <pane xSplit="3" ySplit="6" topLeftCell="D25" activePane="bottomRight" state="frozen"/>
      <selection activeCell="R37" sqref="R37"/>
      <selection pane="topRight" activeCell="R37" sqref="R37"/>
      <selection pane="bottomLeft" activeCell="R37" sqref="R37"/>
      <selection pane="bottomRight" activeCell="AG13" sqref="AG13"/>
    </sheetView>
  </sheetViews>
  <sheetFormatPr defaultRowHeight="14.4" x14ac:dyDescent="0.3"/>
  <cols>
    <col min="1" max="1" width="3.109375" customWidth="1"/>
    <col min="2" max="2" width="19.109375" bestFit="1" customWidth="1"/>
    <col min="3" max="3" width="27.5546875" bestFit="1" customWidth="1"/>
    <col min="4" max="4" width="16.5546875" bestFit="1" customWidth="1"/>
    <col min="16" max="16" width="23.44140625" bestFit="1" customWidth="1"/>
    <col min="17" max="28" width="8.88671875" customWidth="1"/>
    <col min="30" max="30" width="14" bestFit="1" customWidth="1"/>
    <col min="31" max="31" width="14.33203125" bestFit="1" customWidth="1"/>
    <col min="32" max="33" width="14" bestFit="1" customWidth="1"/>
    <col min="35" max="35" width="14" bestFit="1" customWidth="1"/>
  </cols>
  <sheetData>
    <row r="2" spans="2:35" x14ac:dyDescent="0.3">
      <c r="C2" s="29" t="s">
        <v>201</v>
      </c>
      <c r="D2" s="57" t="s">
        <v>0</v>
      </c>
      <c r="E2" s="57" t="s">
        <v>0</v>
      </c>
      <c r="F2" s="57" t="s">
        <v>0</v>
      </c>
      <c r="G2" s="57" t="s">
        <v>0</v>
      </c>
      <c r="H2" s="57" t="s">
        <v>0</v>
      </c>
      <c r="I2" s="57" t="s">
        <v>0</v>
      </c>
      <c r="J2" s="57" t="s">
        <v>0</v>
      </c>
      <c r="K2" s="57" t="s">
        <v>0</v>
      </c>
      <c r="L2" s="57" t="s">
        <v>0</v>
      </c>
      <c r="M2" s="57" t="s">
        <v>0</v>
      </c>
      <c r="N2" s="57" t="s">
        <v>0</v>
      </c>
      <c r="O2" s="57" t="s">
        <v>0</v>
      </c>
      <c r="P2" s="57" t="s">
        <v>1</v>
      </c>
      <c r="Q2" s="57" t="s">
        <v>2</v>
      </c>
      <c r="R2" s="57" t="s">
        <v>2</v>
      </c>
      <c r="S2" s="57" t="s">
        <v>2</v>
      </c>
      <c r="T2" s="57" t="s">
        <v>2</v>
      </c>
      <c r="U2" s="57" t="s">
        <v>2</v>
      </c>
      <c r="V2" s="57" t="s">
        <v>2</v>
      </c>
      <c r="W2" s="57" t="s">
        <v>2</v>
      </c>
      <c r="X2" s="57" t="s">
        <v>2</v>
      </c>
      <c r="Y2" s="57" t="s">
        <v>2</v>
      </c>
      <c r="Z2" s="57" t="s">
        <v>2</v>
      </c>
      <c r="AA2" s="57" t="s">
        <v>2</v>
      </c>
      <c r="AB2" s="57" t="s">
        <v>2</v>
      </c>
      <c r="AC2" s="57" t="s">
        <v>3</v>
      </c>
      <c r="AD2" s="57" t="s">
        <v>4</v>
      </c>
      <c r="AE2" s="57" t="s">
        <v>4</v>
      </c>
      <c r="AF2" s="57" t="s">
        <v>4</v>
      </c>
      <c r="AG2" s="57" t="s">
        <v>4</v>
      </c>
      <c r="AH2" s="57" t="s">
        <v>5</v>
      </c>
      <c r="AI2" s="46" t="s">
        <v>6</v>
      </c>
    </row>
    <row r="3" spans="2:35" x14ac:dyDescent="0.3">
      <c r="C3" s="29" t="s">
        <v>211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  <c r="K3" s="9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10" t="s">
        <v>1</v>
      </c>
      <c r="Q3" s="9" t="s">
        <v>39</v>
      </c>
      <c r="R3" s="9" t="s">
        <v>40</v>
      </c>
      <c r="S3" s="9" t="s">
        <v>41</v>
      </c>
      <c r="T3" s="9" t="s">
        <v>42</v>
      </c>
      <c r="U3" s="9" t="s">
        <v>43</v>
      </c>
      <c r="V3" s="9" t="s">
        <v>44</v>
      </c>
      <c r="W3" s="9" t="s">
        <v>45</v>
      </c>
      <c r="X3" s="9" t="s">
        <v>46</v>
      </c>
      <c r="Y3" s="9" t="s">
        <v>47</v>
      </c>
      <c r="Z3" s="9" t="s">
        <v>48</v>
      </c>
      <c r="AA3" s="9" t="s">
        <v>49</v>
      </c>
      <c r="AB3" s="9" t="s">
        <v>50</v>
      </c>
      <c r="AC3" s="10" t="s">
        <v>3</v>
      </c>
      <c r="AD3" s="9" t="s">
        <v>185</v>
      </c>
      <c r="AE3" s="9" t="s">
        <v>187</v>
      </c>
      <c r="AF3" s="9" t="s">
        <v>188</v>
      </c>
      <c r="AG3" s="9" t="s">
        <v>189</v>
      </c>
      <c r="AH3" s="10" t="s">
        <v>5</v>
      </c>
      <c r="AI3" s="9" t="s">
        <v>186</v>
      </c>
    </row>
    <row r="4" spans="2:35" x14ac:dyDescent="0.3">
      <c r="C4" s="21" t="s">
        <v>51</v>
      </c>
      <c r="D4" s="22">
        <v>31</v>
      </c>
      <c r="E4" s="22">
        <v>28</v>
      </c>
      <c r="F4" s="22">
        <v>31</v>
      </c>
      <c r="G4" s="22">
        <v>30</v>
      </c>
      <c r="H4" s="22">
        <v>31</v>
      </c>
      <c r="I4" s="22">
        <v>30</v>
      </c>
      <c r="J4" s="22">
        <v>31</v>
      </c>
      <c r="K4" s="22">
        <v>31</v>
      </c>
      <c r="L4" s="22">
        <v>30</v>
      </c>
      <c r="M4" s="22">
        <v>31</v>
      </c>
      <c r="N4" s="22">
        <v>30</v>
      </c>
      <c r="O4" s="22">
        <v>31</v>
      </c>
      <c r="P4" s="23">
        <f>+SUM(D4:O4)</f>
        <v>365</v>
      </c>
      <c r="Q4" s="22">
        <v>31</v>
      </c>
      <c r="R4" s="22">
        <v>28</v>
      </c>
      <c r="S4" s="22">
        <v>31</v>
      </c>
      <c r="T4" s="22">
        <v>30</v>
      </c>
      <c r="U4" s="22">
        <v>31</v>
      </c>
      <c r="V4" s="22">
        <v>30</v>
      </c>
      <c r="W4" s="22">
        <v>31</v>
      </c>
      <c r="X4" s="22">
        <v>31</v>
      </c>
      <c r="Y4" s="22">
        <v>30</v>
      </c>
      <c r="Z4" s="22">
        <v>31</v>
      </c>
      <c r="AA4" s="22">
        <v>30</v>
      </c>
      <c r="AB4" s="22">
        <v>31</v>
      </c>
      <c r="AC4" s="23">
        <f>+SUM(Q4:AB4)</f>
        <v>365</v>
      </c>
      <c r="AD4" s="22">
        <v>91</v>
      </c>
      <c r="AE4" s="22">
        <v>91</v>
      </c>
      <c r="AF4" s="22">
        <v>92</v>
      </c>
      <c r="AG4" s="22">
        <v>92</v>
      </c>
      <c r="AH4" s="23">
        <f>+SUM(AD4:AG4)</f>
        <v>366</v>
      </c>
      <c r="AI4" s="22">
        <v>91</v>
      </c>
    </row>
    <row r="5" spans="2:35" x14ac:dyDescent="0.3">
      <c r="C5" s="21" t="s">
        <v>52</v>
      </c>
      <c r="D5" s="22">
        <v>0.8</v>
      </c>
      <c r="E5" s="22">
        <v>1.2</v>
      </c>
      <c r="F5" s="22">
        <v>1.1000000000000001</v>
      </c>
      <c r="G5" s="22">
        <v>3</v>
      </c>
      <c r="H5" s="22">
        <v>4</v>
      </c>
      <c r="I5" s="22">
        <v>3.4</v>
      </c>
      <c r="J5" s="22">
        <v>3.4</v>
      </c>
      <c r="K5" s="22">
        <v>4</v>
      </c>
      <c r="L5" s="22">
        <v>4.5</v>
      </c>
      <c r="M5" s="22">
        <v>4.5</v>
      </c>
      <c r="N5" s="22">
        <v>2.7</v>
      </c>
      <c r="O5" s="22">
        <v>1.4</v>
      </c>
      <c r="P5" s="23">
        <f>+SUM(D5:O5)</f>
        <v>34</v>
      </c>
      <c r="Q5" s="22">
        <v>0.8</v>
      </c>
      <c r="R5" s="22">
        <v>1.2</v>
      </c>
      <c r="S5" s="22">
        <v>1.1000000000000001</v>
      </c>
      <c r="T5" s="22">
        <v>3</v>
      </c>
      <c r="U5" s="22">
        <v>4</v>
      </c>
      <c r="V5" s="22">
        <v>3.4</v>
      </c>
      <c r="W5" s="22">
        <v>3.4</v>
      </c>
      <c r="X5" s="22">
        <v>4</v>
      </c>
      <c r="Y5" s="22">
        <v>4.5</v>
      </c>
      <c r="Z5" s="22">
        <v>4.5</v>
      </c>
      <c r="AA5" s="22">
        <v>2.7</v>
      </c>
      <c r="AB5" s="22">
        <v>1.4</v>
      </c>
      <c r="AC5" s="23">
        <f>+SUM(Q5:AB5)</f>
        <v>34</v>
      </c>
      <c r="AD5" s="22">
        <v>3.1</v>
      </c>
      <c r="AE5" s="22">
        <v>10.400000000000006</v>
      </c>
      <c r="AF5" s="22">
        <v>11.900000000000006</v>
      </c>
      <c r="AG5" s="22">
        <v>8.5999999999999943</v>
      </c>
      <c r="AH5" s="23">
        <f>+SUM(AD5:AG5)</f>
        <v>34.000000000000007</v>
      </c>
      <c r="AI5" s="22">
        <v>3.1</v>
      </c>
    </row>
    <row r="6" spans="2:35" x14ac:dyDescent="0.3">
      <c r="C6" s="21" t="s">
        <v>53</v>
      </c>
      <c r="D6" s="22">
        <f t="shared" ref="D6:O6" si="0">+D4-D5</f>
        <v>30.2</v>
      </c>
      <c r="E6" s="22">
        <f t="shared" si="0"/>
        <v>26.8</v>
      </c>
      <c r="F6" s="22">
        <f t="shared" si="0"/>
        <v>29.9</v>
      </c>
      <c r="G6" s="22">
        <f t="shared" si="0"/>
        <v>27</v>
      </c>
      <c r="H6" s="22">
        <f t="shared" si="0"/>
        <v>27</v>
      </c>
      <c r="I6" s="22">
        <f t="shared" si="0"/>
        <v>26.6</v>
      </c>
      <c r="J6" s="22">
        <f t="shared" si="0"/>
        <v>27.6</v>
      </c>
      <c r="K6" s="22">
        <f t="shared" si="0"/>
        <v>27</v>
      </c>
      <c r="L6" s="22">
        <f t="shared" si="0"/>
        <v>25.5</v>
      </c>
      <c r="M6" s="22">
        <f t="shared" si="0"/>
        <v>26.5</v>
      </c>
      <c r="N6" s="22">
        <f t="shared" si="0"/>
        <v>27.3</v>
      </c>
      <c r="O6" s="22">
        <f t="shared" si="0"/>
        <v>29.6</v>
      </c>
      <c r="P6" s="23">
        <f>+SUM(D6:O6)</f>
        <v>331.00000000000006</v>
      </c>
      <c r="Q6" s="22">
        <f t="shared" ref="Q6:AB6" si="1">+Q4-Q5</f>
        <v>30.2</v>
      </c>
      <c r="R6" s="22">
        <f t="shared" si="1"/>
        <v>26.8</v>
      </c>
      <c r="S6" s="22">
        <f t="shared" si="1"/>
        <v>29.9</v>
      </c>
      <c r="T6" s="22">
        <f t="shared" si="1"/>
        <v>27</v>
      </c>
      <c r="U6" s="22">
        <f t="shared" si="1"/>
        <v>27</v>
      </c>
      <c r="V6" s="22">
        <f t="shared" si="1"/>
        <v>26.6</v>
      </c>
      <c r="W6" s="22">
        <f t="shared" si="1"/>
        <v>27.6</v>
      </c>
      <c r="X6" s="22">
        <f t="shared" si="1"/>
        <v>27</v>
      </c>
      <c r="Y6" s="22">
        <f t="shared" si="1"/>
        <v>25.5</v>
      </c>
      <c r="Z6" s="22">
        <f t="shared" si="1"/>
        <v>26.5</v>
      </c>
      <c r="AA6" s="22">
        <f t="shared" si="1"/>
        <v>27.3</v>
      </c>
      <c r="AB6" s="22">
        <f t="shared" si="1"/>
        <v>29.6</v>
      </c>
      <c r="AC6" s="23">
        <f>+SUM(Q6:AB6)</f>
        <v>331.00000000000006</v>
      </c>
      <c r="AD6" s="22">
        <f>+AD4-AD5</f>
        <v>87.9</v>
      </c>
      <c r="AE6" s="22">
        <f>+AE4-AE5</f>
        <v>80.599999999999994</v>
      </c>
      <c r="AF6" s="22">
        <f>+AF4-AF5</f>
        <v>80.099999999999994</v>
      </c>
      <c r="AG6" s="22">
        <f>+AG4-AG5</f>
        <v>83.4</v>
      </c>
      <c r="AH6" s="23">
        <f>+SUM(AD6:AG6)</f>
        <v>332</v>
      </c>
      <c r="AI6" s="22">
        <f>+AI4-AI5</f>
        <v>87.9</v>
      </c>
    </row>
    <row r="8" spans="2:35" x14ac:dyDescent="0.3">
      <c r="B8" s="58" t="s">
        <v>70</v>
      </c>
      <c r="C8" s="11" t="s">
        <v>71</v>
      </c>
      <c r="D8" s="24">
        <v>2</v>
      </c>
      <c r="E8" s="24">
        <v>2</v>
      </c>
      <c r="F8" s="24">
        <v>2</v>
      </c>
      <c r="G8" s="24">
        <v>2</v>
      </c>
      <c r="H8" s="24">
        <v>2</v>
      </c>
      <c r="I8" s="24">
        <v>2</v>
      </c>
      <c r="J8" s="24">
        <v>2</v>
      </c>
      <c r="K8" s="24">
        <v>2</v>
      </c>
      <c r="L8" s="24">
        <v>2</v>
      </c>
      <c r="M8" s="24">
        <v>2</v>
      </c>
      <c r="N8" s="24">
        <v>2</v>
      </c>
      <c r="O8" s="24">
        <v>2</v>
      </c>
      <c r="P8" s="23">
        <f t="shared" ref="P8:P18" si="2">+SUMPRODUCT(D8:O8,D$6:O$6)/SUM(D$6:O$6)</f>
        <v>2</v>
      </c>
      <c r="Q8" s="24">
        <v>2</v>
      </c>
      <c r="R8" s="24">
        <v>2</v>
      </c>
      <c r="S8" s="24">
        <v>2</v>
      </c>
      <c r="T8" s="24">
        <v>2</v>
      </c>
      <c r="U8" s="24">
        <v>2</v>
      </c>
      <c r="V8" s="24">
        <v>2</v>
      </c>
      <c r="W8" s="24">
        <v>2</v>
      </c>
      <c r="X8" s="24">
        <v>2</v>
      </c>
      <c r="Y8" s="24">
        <v>2</v>
      </c>
      <c r="Z8" s="24">
        <v>2</v>
      </c>
      <c r="AA8" s="24">
        <v>2</v>
      </c>
      <c r="AB8" s="24">
        <v>2</v>
      </c>
      <c r="AC8" s="23">
        <f t="shared" ref="AC8:AC18" si="3">+SUMPRODUCT(Q8:AB8,Q$6:AB$6)/SUM(Q$6:AB$6)</f>
        <v>2</v>
      </c>
      <c r="AD8" s="24">
        <v>2</v>
      </c>
      <c r="AE8" s="24">
        <v>2</v>
      </c>
      <c r="AF8" s="24">
        <v>2</v>
      </c>
      <c r="AG8" s="24">
        <v>2</v>
      </c>
      <c r="AH8" s="25">
        <f t="shared" ref="AH8:AH18" si="4">+SUMPRODUCT(AD8:AG8,AD$6:AG$6)/SUM(AD$6:AG$6)</f>
        <v>2</v>
      </c>
      <c r="AI8" s="24">
        <v>2</v>
      </c>
    </row>
    <row r="9" spans="2:35" x14ac:dyDescent="0.3">
      <c r="B9" s="58" t="s">
        <v>70</v>
      </c>
      <c r="C9" s="11" t="s">
        <v>72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3">
        <f t="shared" si="2"/>
        <v>1</v>
      </c>
      <c r="Q9" s="24">
        <v>1</v>
      </c>
      <c r="R9" s="24">
        <v>1</v>
      </c>
      <c r="S9" s="24">
        <v>1</v>
      </c>
      <c r="T9" s="24">
        <v>1</v>
      </c>
      <c r="U9" s="24">
        <v>1</v>
      </c>
      <c r="V9" s="24">
        <v>1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B9" s="24">
        <v>1</v>
      </c>
      <c r="AC9" s="23">
        <f t="shared" si="3"/>
        <v>1</v>
      </c>
      <c r="AD9" s="24">
        <v>1</v>
      </c>
      <c r="AE9" s="24">
        <v>0</v>
      </c>
      <c r="AF9" s="24">
        <v>0</v>
      </c>
      <c r="AG9" s="24">
        <v>0</v>
      </c>
      <c r="AH9" s="25">
        <f t="shared" si="4"/>
        <v>0.26475903614457835</v>
      </c>
      <c r="AI9" s="24">
        <v>0</v>
      </c>
    </row>
    <row r="10" spans="2:35" x14ac:dyDescent="0.3">
      <c r="B10" s="58" t="s">
        <v>70</v>
      </c>
      <c r="C10" s="11" t="s">
        <v>73</v>
      </c>
      <c r="D10" s="24">
        <v>2</v>
      </c>
      <c r="E10" s="24">
        <v>2</v>
      </c>
      <c r="F10" s="24">
        <v>2</v>
      </c>
      <c r="G10" s="24">
        <v>2</v>
      </c>
      <c r="H10" s="24">
        <v>2</v>
      </c>
      <c r="I10" s="24">
        <v>2</v>
      </c>
      <c r="J10" s="24">
        <v>2</v>
      </c>
      <c r="K10" s="24">
        <v>2</v>
      </c>
      <c r="L10" s="24">
        <v>2</v>
      </c>
      <c r="M10" s="24">
        <v>2</v>
      </c>
      <c r="N10" s="24">
        <v>2</v>
      </c>
      <c r="O10" s="24">
        <v>2</v>
      </c>
      <c r="P10" s="23">
        <f t="shared" si="2"/>
        <v>2</v>
      </c>
      <c r="Q10" s="24">
        <v>2</v>
      </c>
      <c r="R10" s="24">
        <v>2</v>
      </c>
      <c r="S10" s="24">
        <v>2</v>
      </c>
      <c r="T10" s="24">
        <v>2</v>
      </c>
      <c r="U10" s="24">
        <v>2</v>
      </c>
      <c r="V10" s="24">
        <v>2</v>
      </c>
      <c r="W10" s="24">
        <v>2</v>
      </c>
      <c r="X10" s="24">
        <v>2</v>
      </c>
      <c r="Y10" s="24">
        <v>2</v>
      </c>
      <c r="Z10" s="24">
        <v>2</v>
      </c>
      <c r="AA10" s="24">
        <v>2</v>
      </c>
      <c r="AB10" s="24">
        <v>2</v>
      </c>
      <c r="AC10" s="23">
        <f t="shared" si="3"/>
        <v>2</v>
      </c>
      <c r="AD10" s="24">
        <v>2</v>
      </c>
      <c r="AE10" s="24">
        <v>2</v>
      </c>
      <c r="AF10" s="24">
        <v>2</v>
      </c>
      <c r="AG10" s="24">
        <v>2</v>
      </c>
      <c r="AH10" s="25">
        <f t="shared" si="4"/>
        <v>2</v>
      </c>
      <c r="AI10" s="24">
        <v>2</v>
      </c>
    </row>
    <row r="11" spans="2:35" x14ac:dyDescent="0.3">
      <c r="B11" s="58" t="s">
        <v>70</v>
      </c>
      <c r="C11" s="11" t="s">
        <v>74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1</v>
      </c>
      <c r="O11" s="24">
        <v>1</v>
      </c>
      <c r="P11" s="25">
        <f t="shared" si="2"/>
        <v>1</v>
      </c>
      <c r="Q11" s="24">
        <v>1</v>
      </c>
      <c r="R11" s="24">
        <v>1</v>
      </c>
      <c r="S11" s="24">
        <v>1</v>
      </c>
      <c r="T11" s="24">
        <v>1</v>
      </c>
      <c r="U11" s="24">
        <v>1</v>
      </c>
      <c r="V11" s="24">
        <v>1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B11" s="24">
        <v>1</v>
      </c>
      <c r="AC11" s="23">
        <f t="shared" si="3"/>
        <v>1</v>
      </c>
      <c r="AD11" s="24">
        <v>1</v>
      </c>
      <c r="AE11" s="24">
        <v>1</v>
      </c>
      <c r="AF11" s="24">
        <v>1</v>
      </c>
      <c r="AG11" s="24">
        <v>1</v>
      </c>
      <c r="AH11" s="25">
        <f t="shared" si="4"/>
        <v>1</v>
      </c>
      <c r="AI11" s="24">
        <v>1</v>
      </c>
    </row>
    <row r="12" spans="2:35" x14ac:dyDescent="0.3">
      <c r="B12" s="58" t="s">
        <v>70</v>
      </c>
      <c r="C12" s="11" t="s">
        <v>75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5">
        <f t="shared" si="2"/>
        <v>1</v>
      </c>
      <c r="Q12" s="24">
        <v>1</v>
      </c>
      <c r="R12" s="24">
        <v>1</v>
      </c>
      <c r="S12" s="24">
        <v>1</v>
      </c>
      <c r="T12" s="24">
        <v>1</v>
      </c>
      <c r="U12" s="24">
        <v>1</v>
      </c>
      <c r="V12" s="24">
        <v>1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B12" s="24">
        <v>1</v>
      </c>
      <c r="AC12" s="23">
        <f t="shared" si="3"/>
        <v>1</v>
      </c>
      <c r="AD12" s="24">
        <v>1</v>
      </c>
      <c r="AE12" s="24">
        <v>0</v>
      </c>
      <c r="AF12" s="24">
        <v>0</v>
      </c>
      <c r="AG12" s="24">
        <v>0</v>
      </c>
      <c r="AH12" s="25">
        <f t="shared" si="4"/>
        <v>0.26475903614457835</v>
      </c>
      <c r="AI12" s="24">
        <v>0</v>
      </c>
    </row>
    <row r="13" spans="2:35" x14ac:dyDescent="0.3">
      <c r="B13" s="58" t="s">
        <v>70</v>
      </c>
      <c r="C13" s="11" t="s">
        <v>76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3">
        <f t="shared" si="2"/>
        <v>1</v>
      </c>
      <c r="Q13" s="24">
        <v>1</v>
      </c>
      <c r="R13" s="24">
        <v>1</v>
      </c>
      <c r="S13" s="24">
        <v>1</v>
      </c>
      <c r="T13" s="24">
        <v>1</v>
      </c>
      <c r="U13" s="24">
        <v>1</v>
      </c>
      <c r="V13" s="24">
        <v>1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B13" s="24">
        <v>1</v>
      </c>
      <c r="AC13" s="23">
        <f t="shared" si="3"/>
        <v>1</v>
      </c>
      <c r="AD13" s="24">
        <v>1</v>
      </c>
      <c r="AE13" s="24">
        <v>1</v>
      </c>
      <c r="AF13" s="24">
        <v>1</v>
      </c>
      <c r="AG13" s="24">
        <v>1</v>
      </c>
      <c r="AH13" s="25">
        <f t="shared" si="4"/>
        <v>1</v>
      </c>
      <c r="AI13" s="24">
        <v>1</v>
      </c>
    </row>
    <row r="14" spans="2:35" x14ac:dyDescent="0.3">
      <c r="B14" s="58" t="s">
        <v>70</v>
      </c>
      <c r="C14" s="11" t="s">
        <v>77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3">
        <f t="shared" si="2"/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B14" s="24">
        <v>1</v>
      </c>
      <c r="AC14" s="23">
        <f t="shared" si="3"/>
        <v>1</v>
      </c>
      <c r="AD14" s="24">
        <v>1</v>
      </c>
      <c r="AE14" s="24">
        <v>1</v>
      </c>
      <c r="AF14" s="24">
        <v>1</v>
      </c>
      <c r="AG14" s="24">
        <v>1</v>
      </c>
      <c r="AH14" s="25">
        <f t="shared" si="4"/>
        <v>1</v>
      </c>
      <c r="AI14" s="24">
        <v>1</v>
      </c>
    </row>
    <row r="15" spans="2:35" x14ac:dyDescent="0.3">
      <c r="B15" s="58" t="s">
        <v>70</v>
      </c>
      <c r="C15" s="11" t="s">
        <v>78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5">
        <f t="shared" si="2"/>
        <v>1</v>
      </c>
      <c r="Q15" s="24">
        <v>1</v>
      </c>
      <c r="R15" s="24">
        <v>1</v>
      </c>
      <c r="S15" s="24">
        <v>1</v>
      </c>
      <c r="T15" s="24">
        <v>1</v>
      </c>
      <c r="U15" s="24">
        <v>1</v>
      </c>
      <c r="V15" s="24">
        <v>1</v>
      </c>
      <c r="W15" s="24">
        <v>1</v>
      </c>
      <c r="X15" s="24">
        <v>1</v>
      </c>
      <c r="Y15" s="24">
        <v>1</v>
      </c>
      <c r="Z15" s="24">
        <v>1</v>
      </c>
      <c r="AA15" s="24">
        <v>1</v>
      </c>
      <c r="AB15" s="24">
        <v>1</v>
      </c>
      <c r="AC15" s="23">
        <f t="shared" si="3"/>
        <v>1</v>
      </c>
      <c r="AD15" s="24">
        <v>1</v>
      </c>
      <c r="AE15" s="24">
        <v>0</v>
      </c>
      <c r="AF15" s="24">
        <v>0</v>
      </c>
      <c r="AG15" s="24">
        <v>0</v>
      </c>
      <c r="AH15" s="25">
        <f t="shared" si="4"/>
        <v>0.26475903614457835</v>
      </c>
      <c r="AI15" s="24">
        <v>0</v>
      </c>
    </row>
    <row r="16" spans="2:35" x14ac:dyDescent="0.3">
      <c r="B16" s="58" t="s">
        <v>70</v>
      </c>
      <c r="C16" s="11" t="s">
        <v>79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5">
        <f t="shared" si="2"/>
        <v>1</v>
      </c>
      <c r="Q16" s="24">
        <v>1</v>
      </c>
      <c r="R16" s="24">
        <v>1</v>
      </c>
      <c r="S16" s="24">
        <v>1</v>
      </c>
      <c r="T16" s="24">
        <v>1</v>
      </c>
      <c r="U16" s="24">
        <v>1</v>
      </c>
      <c r="V16" s="24">
        <v>1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B16" s="24">
        <v>1</v>
      </c>
      <c r="AC16" s="23">
        <f t="shared" si="3"/>
        <v>1</v>
      </c>
      <c r="AD16" s="24">
        <v>1</v>
      </c>
      <c r="AE16" s="24">
        <v>1</v>
      </c>
      <c r="AF16" s="24">
        <v>1</v>
      </c>
      <c r="AG16" s="24">
        <v>1</v>
      </c>
      <c r="AH16" s="25">
        <f t="shared" si="4"/>
        <v>1</v>
      </c>
      <c r="AI16" s="24">
        <v>1</v>
      </c>
    </row>
    <row r="17" spans="2:35" x14ac:dyDescent="0.3">
      <c r="B17" s="58" t="s">
        <v>70</v>
      </c>
      <c r="C17" s="11" t="s">
        <v>80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5">
        <f t="shared" si="2"/>
        <v>1</v>
      </c>
      <c r="Q17" s="24">
        <v>1</v>
      </c>
      <c r="R17" s="24">
        <v>1</v>
      </c>
      <c r="S17" s="24">
        <v>1</v>
      </c>
      <c r="T17" s="24">
        <v>1</v>
      </c>
      <c r="U17" s="24">
        <v>1</v>
      </c>
      <c r="V17" s="24">
        <v>1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B17" s="24">
        <v>1</v>
      </c>
      <c r="AC17" s="23">
        <f t="shared" si="3"/>
        <v>1</v>
      </c>
      <c r="AD17" s="24">
        <v>0</v>
      </c>
      <c r="AE17" s="24">
        <v>0</v>
      </c>
      <c r="AF17" s="24">
        <v>0</v>
      </c>
      <c r="AG17" s="24">
        <v>0</v>
      </c>
      <c r="AH17" s="25">
        <f t="shared" si="4"/>
        <v>0</v>
      </c>
      <c r="AI17" s="24">
        <v>0</v>
      </c>
    </row>
    <row r="18" spans="2:35" x14ac:dyDescent="0.3">
      <c r="B18" s="58" t="s">
        <v>70</v>
      </c>
      <c r="C18" s="11" t="s">
        <v>81</v>
      </c>
      <c r="D18" s="24">
        <v>2</v>
      </c>
      <c r="E18" s="24">
        <v>2</v>
      </c>
      <c r="F18" s="24">
        <v>2</v>
      </c>
      <c r="G18" s="24">
        <v>2</v>
      </c>
      <c r="H18" s="24">
        <v>2</v>
      </c>
      <c r="I18" s="24">
        <v>2</v>
      </c>
      <c r="J18" s="24">
        <v>2</v>
      </c>
      <c r="K18" s="24">
        <v>2</v>
      </c>
      <c r="L18" s="24">
        <v>2</v>
      </c>
      <c r="M18" s="24">
        <v>2</v>
      </c>
      <c r="N18" s="24">
        <v>2</v>
      </c>
      <c r="O18" s="24">
        <v>2</v>
      </c>
      <c r="P18" s="23">
        <f t="shared" si="2"/>
        <v>2</v>
      </c>
      <c r="Q18" s="24">
        <v>2</v>
      </c>
      <c r="R18" s="24">
        <v>2</v>
      </c>
      <c r="S18" s="24">
        <v>2</v>
      </c>
      <c r="T18" s="24">
        <v>2</v>
      </c>
      <c r="U18" s="24">
        <v>2</v>
      </c>
      <c r="V18" s="24">
        <v>2</v>
      </c>
      <c r="W18" s="24">
        <v>2</v>
      </c>
      <c r="X18" s="24">
        <v>2</v>
      </c>
      <c r="Y18" s="24">
        <v>2</v>
      </c>
      <c r="Z18" s="24">
        <v>2</v>
      </c>
      <c r="AA18" s="24">
        <v>2</v>
      </c>
      <c r="AB18" s="24">
        <v>2</v>
      </c>
      <c r="AC18" s="23">
        <f t="shared" si="3"/>
        <v>2</v>
      </c>
      <c r="AD18" s="24">
        <v>2</v>
      </c>
      <c r="AE18" s="24">
        <v>1</v>
      </c>
      <c r="AF18" s="24">
        <v>1</v>
      </c>
      <c r="AG18" s="24">
        <v>1</v>
      </c>
      <c r="AH18" s="25">
        <f t="shared" si="4"/>
        <v>1.2647590361445782</v>
      </c>
      <c r="AI18" s="24">
        <v>1</v>
      </c>
    </row>
    <row r="19" spans="2:35" x14ac:dyDescent="0.3">
      <c r="B19" s="14"/>
      <c r="C19" s="18" t="s">
        <v>199</v>
      </c>
      <c r="D19" s="23">
        <f t="shared" ref="D19:AI19" si="5">SUM(D8:D18)</f>
        <v>14</v>
      </c>
      <c r="E19" s="23">
        <f t="shared" si="5"/>
        <v>14</v>
      </c>
      <c r="F19" s="23">
        <f t="shared" si="5"/>
        <v>14</v>
      </c>
      <c r="G19" s="23">
        <f t="shared" si="5"/>
        <v>14</v>
      </c>
      <c r="H19" s="23">
        <f t="shared" si="5"/>
        <v>14</v>
      </c>
      <c r="I19" s="23">
        <f t="shared" si="5"/>
        <v>14</v>
      </c>
      <c r="J19" s="23">
        <f t="shared" si="5"/>
        <v>14</v>
      </c>
      <c r="K19" s="23">
        <f t="shared" si="5"/>
        <v>14</v>
      </c>
      <c r="L19" s="23">
        <f t="shared" si="5"/>
        <v>14</v>
      </c>
      <c r="M19" s="23">
        <f t="shared" si="5"/>
        <v>14</v>
      </c>
      <c r="N19" s="23">
        <f t="shared" si="5"/>
        <v>14</v>
      </c>
      <c r="O19" s="23">
        <f t="shared" si="5"/>
        <v>14</v>
      </c>
      <c r="P19" s="25">
        <f t="shared" si="5"/>
        <v>14</v>
      </c>
      <c r="Q19" s="23">
        <f t="shared" si="5"/>
        <v>14</v>
      </c>
      <c r="R19" s="23">
        <f t="shared" si="5"/>
        <v>14</v>
      </c>
      <c r="S19" s="23">
        <f t="shared" si="5"/>
        <v>14</v>
      </c>
      <c r="T19" s="23">
        <f t="shared" si="5"/>
        <v>14</v>
      </c>
      <c r="U19" s="23">
        <f t="shared" si="5"/>
        <v>14</v>
      </c>
      <c r="V19" s="23">
        <f t="shared" si="5"/>
        <v>14</v>
      </c>
      <c r="W19" s="23">
        <f t="shared" si="5"/>
        <v>14</v>
      </c>
      <c r="X19" s="23">
        <f t="shared" si="5"/>
        <v>14</v>
      </c>
      <c r="Y19" s="23">
        <f t="shared" si="5"/>
        <v>14</v>
      </c>
      <c r="Z19" s="23">
        <f t="shared" si="5"/>
        <v>14</v>
      </c>
      <c r="AA19" s="23">
        <f t="shared" si="5"/>
        <v>14</v>
      </c>
      <c r="AB19" s="23">
        <f t="shared" si="5"/>
        <v>14</v>
      </c>
      <c r="AC19" s="23">
        <f t="shared" si="5"/>
        <v>14</v>
      </c>
      <c r="AD19" s="23">
        <f t="shared" si="5"/>
        <v>13</v>
      </c>
      <c r="AE19" s="23">
        <f t="shared" si="5"/>
        <v>9</v>
      </c>
      <c r="AF19" s="23">
        <f t="shared" si="5"/>
        <v>9</v>
      </c>
      <c r="AG19" s="23">
        <f t="shared" si="5"/>
        <v>9</v>
      </c>
      <c r="AH19" s="25">
        <f t="shared" si="5"/>
        <v>10.059036144578315</v>
      </c>
      <c r="AI19" s="23">
        <f t="shared" si="5"/>
        <v>9</v>
      </c>
    </row>
    <row r="21" spans="2:35" x14ac:dyDescent="0.3">
      <c r="B21" s="58" t="s">
        <v>54</v>
      </c>
      <c r="C21" s="11" t="s">
        <v>71</v>
      </c>
      <c r="D21" s="26">
        <v>0.71</v>
      </c>
      <c r="E21" s="26">
        <v>0.70500000000000007</v>
      </c>
      <c r="F21" s="26">
        <v>0.71500000000000008</v>
      </c>
      <c r="G21" s="26">
        <v>0.71</v>
      </c>
      <c r="H21" s="26">
        <v>0.71500000000000008</v>
      </c>
      <c r="I21" s="26">
        <v>0.72499999999999998</v>
      </c>
      <c r="J21" s="26">
        <v>0.6</v>
      </c>
      <c r="K21" s="26">
        <v>0.72</v>
      </c>
      <c r="L21" s="26">
        <v>0.70500000000000007</v>
      </c>
      <c r="M21" s="26">
        <v>0.66999999999999993</v>
      </c>
      <c r="N21" s="26">
        <v>0.71</v>
      </c>
      <c r="O21" s="26">
        <v>0.72</v>
      </c>
      <c r="P21" s="12">
        <f t="shared" ref="P21:P31" si="6">+SUMPRODUCT(D21:O21,D$6:O$6)/SUM(D$6:O$6)</f>
        <v>0.70061027190332315</v>
      </c>
      <c r="Q21" s="27">
        <v>0.7</v>
      </c>
      <c r="R21" s="27">
        <v>0.7</v>
      </c>
      <c r="S21" s="27">
        <v>0.7</v>
      </c>
      <c r="T21" s="27">
        <v>0.70500000000000007</v>
      </c>
      <c r="U21" s="27">
        <v>0.70500000000000007</v>
      </c>
      <c r="V21" s="27">
        <v>0.70500000000000007</v>
      </c>
      <c r="W21" s="27">
        <v>0.7</v>
      </c>
      <c r="X21" s="27">
        <v>0.7</v>
      </c>
      <c r="Y21" s="27">
        <v>0.7</v>
      </c>
      <c r="Z21" s="27">
        <v>0.7</v>
      </c>
      <c r="AA21" s="27">
        <v>0.7</v>
      </c>
      <c r="AB21" s="27">
        <v>0.7</v>
      </c>
      <c r="AC21" s="12">
        <f t="shared" ref="AC21:AC31" si="7">+SUMPRODUCT(Q21:AB21,Q$6:AB$6)/SUM(Q$6:AB$6)</f>
        <v>0.70121752265861004</v>
      </c>
      <c r="AD21" s="26">
        <v>0.7</v>
      </c>
      <c r="AE21" s="26">
        <v>0.7</v>
      </c>
      <c r="AF21" s="26">
        <v>0.7</v>
      </c>
      <c r="AG21" s="26">
        <v>0.7</v>
      </c>
      <c r="AH21" s="12">
        <f t="shared" ref="AH21:AH31" si="8">+SUMPRODUCT(AD21:AG21,AD$6:AG$6)/SUM(AD$6:AG$6)</f>
        <v>0.7</v>
      </c>
      <c r="AI21" s="26">
        <v>0.7</v>
      </c>
    </row>
    <row r="22" spans="2:35" x14ac:dyDescent="0.3">
      <c r="B22" s="58" t="s">
        <v>54</v>
      </c>
      <c r="C22" s="11" t="s">
        <v>72</v>
      </c>
      <c r="D22" s="26">
        <v>0.76</v>
      </c>
      <c r="E22" s="26">
        <v>0.65</v>
      </c>
      <c r="F22" s="26">
        <v>0.65</v>
      </c>
      <c r="G22" s="26">
        <v>0.74</v>
      </c>
      <c r="H22" s="26">
        <v>0.72</v>
      </c>
      <c r="I22" s="26">
        <v>0.71</v>
      </c>
      <c r="J22" s="26">
        <v>0.7</v>
      </c>
      <c r="K22" s="26">
        <v>0.72</v>
      </c>
      <c r="L22" s="26">
        <v>0.73</v>
      </c>
      <c r="M22" s="26">
        <v>0.71</v>
      </c>
      <c r="N22" s="26">
        <v>0.72</v>
      </c>
      <c r="O22" s="26">
        <v>0.72</v>
      </c>
      <c r="P22" s="12">
        <f t="shared" si="6"/>
        <v>0.71078851963746215</v>
      </c>
      <c r="Q22" s="27">
        <v>0.7</v>
      </c>
      <c r="R22" s="27">
        <v>0.7</v>
      </c>
      <c r="S22" s="27">
        <v>0.7</v>
      </c>
      <c r="T22" s="27">
        <v>0.7</v>
      </c>
      <c r="U22" s="27">
        <v>0.7</v>
      </c>
      <c r="V22" s="27">
        <v>0.7</v>
      </c>
      <c r="W22" s="27">
        <v>0.7</v>
      </c>
      <c r="X22" s="27">
        <v>0.7</v>
      </c>
      <c r="Y22" s="27">
        <v>0.7</v>
      </c>
      <c r="Z22" s="27">
        <v>0.71</v>
      </c>
      <c r="AA22" s="27">
        <v>0.71</v>
      </c>
      <c r="AB22" s="27">
        <v>0.71</v>
      </c>
      <c r="AC22" s="12">
        <f t="shared" si="7"/>
        <v>0.70251963746223556</v>
      </c>
      <c r="AD22" s="26">
        <v>0.7</v>
      </c>
      <c r="AE22" s="26">
        <v>0</v>
      </c>
      <c r="AF22" s="26">
        <v>0</v>
      </c>
      <c r="AG22" s="26">
        <v>0</v>
      </c>
      <c r="AH22" s="12">
        <f t="shared" si="8"/>
        <v>0.18533132530120483</v>
      </c>
      <c r="AI22" s="26">
        <v>0</v>
      </c>
    </row>
    <row r="23" spans="2:35" x14ac:dyDescent="0.3">
      <c r="B23" s="58" t="s">
        <v>54</v>
      </c>
      <c r="C23" s="11" t="s">
        <v>73</v>
      </c>
      <c r="D23" s="26">
        <v>0.66</v>
      </c>
      <c r="E23" s="26">
        <v>0.67</v>
      </c>
      <c r="F23" s="26">
        <v>0.76500000000000001</v>
      </c>
      <c r="G23" s="26">
        <v>0.73499999999999999</v>
      </c>
      <c r="H23" s="26">
        <v>0.67</v>
      </c>
      <c r="I23" s="26">
        <v>0.67500000000000004</v>
      </c>
      <c r="J23" s="26">
        <v>0.66999999999999993</v>
      </c>
      <c r="K23" s="26">
        <v>0.63</v>
      </c>
      <c r="L23" s="26">
        <v>0.76</v>
      </c>
      <c r="M23" s="26">
        <v>0.73</v>
      </c>
      <c r="N23" s="26">
        <v>0.75</v>
      </c>
      <c r="O23" s="26">
        <v>0.69</v>
      </c>
      <c r="P23" s="12">
        <f t="shared" si="6"/>
        <v>0.70023413897280951</v>
      </c>
      <c r="Q23" s="27">
        <v>0.7</v>
      </c>
      <c r="R23" s="27">
        <v>0.7</v>
      </c>
      <c r="S23" s="27">
        <v>0.7</v>
      </c>
      <c r="T23" s="27">
        <v>0.7</v>
      </c>
      <c r="U23" s="27">
        <v>0.7</v>
      </c>
      <c r="V23" s="27">
        <v>0.7</v>
      </c>
      <c r="W23" s="27">
        <v>0.7</v>
      </c>
      <c r="X23" s="27">
        <v>0.7</v>
      </c>
      <c r="Y23" s="27">
        <v>0.7</v>
      </c>
      <c r="Z23" s="27">
        <v>0.7</v>
      </c>
      <c r="AA23" s="27">
        <v>0.7</v>
      </c>
      <c r="AB23" s="27">
        <v>0.7</v>
      </c>
      <c r="AC23" s="12">
        <f t="shared" si="7"/>
        <v>0.7</v>
      </c>
      <c r="AD23" s="26">
        <v>0.7</v>
      </c>
      <c r="AE23" s="26">
        <v>0.7</v>
      </c>
      <c r="AF23" s="26">
        <v>0.7</v>
      </c>
      <c r="AG23" s="26">
        <v>0.7</v>
      </c>
      <c r="AH23" s="12">
        <f t="shared" si="8"/>
        <v>0.7</v>
      </c>
      <c r="AI23" s="26">
        <v>0.7</v>
      </c>
    </row>
    <row r="24" spans="2:35" x14ac:dyDescent="0.3">
      <c r="B24" s="58" t="s">
        <v>54</v>
      </c>
      <c r="C24" s="11" t="s">
        <v>74</v>
      </c>
      <c r="D24" s="26">
        <v>0.78</v>
      </c>
      <c r="E24" s="26">
        <v>0.78</v>
      </c>
      <c r="F24" s="26">
        <v>0.8</v>
      </c>
      <c r="G24" s="26">
        <v>0.75</v>
      </c>
      <c r="H24" s="26">
        <v>0.8</v>
      </c>
      <c r="I24" s="26">
        <v>0.8</v>
      </c>
      <c r="J24" s="26">
        <v>0.65</v>
      </c>
      <c r="K24" s="26">
        <v>0.8</v>
      </c>
      <c r="L24" s="26">
        <v>0.8</v>
      </c>
      <c r="M24" s="26">
        <v>0.82</v>
      </c>
      <c r="N24" s="26">
        <v>0.75</v>
      </c>
      <c r="O24" s="26">
        <v>0.8</v>
      </c>
      <c r="P24" s="12">
        <f t="shared" si="6"/>
        <v>0.77744712990936538</v>
      </c>
      <c r="Q24" s="27">
        <v>0.78</v>
      </c>
      <c r="R24" s="27">
        <v>0.78</v>
      </c>
      <c r="S24" s="27">
        <v>0.78</v>
      </c>
      <c r="T24" s="27">
        <v>0.78</v>
      </c>
      <c r="U24" s="27">
        <v>0.78</v>
      </c>
      <c r="V24" s="27">
        <v>0.78</v>
      </c>
      <c r="W24" s="27">
        <v>0.78</v>
      </c>
      <c r="X24" s="27">
        <v>0.78</v>
      </c>
      <c r="Y24" s="27">
        <v>0.78</v>
      </c>
      <c r="Z24" s="27">
        <v>0.78</v>
      </c>
      <c r="AA24" s="27">
        <v>0.78</v>
      </c>
      <c r="AB24" s="27">
        <v>0.78</v>
      </c>
      <c r="AC24" s="12">
        <f t="shared" si="7"/>
        <v>0.77999999999999992</v>
      </c>
      <c r="AD24" s="26">
        <v>0.78</v>
      </c>
      <c r="AE24" s="26">
        <v>0.78</v>
      </c>
      <c r="AF24" s="26">
        <v>0.78</v>
      </c>
      <c r="AG24" s="26">
        <v>0.78</v>
      </c>
      <c r="AH24" s="12">
        <f t="shared" si="8"/>
        <v>0.78000000000000014</v>
      </c>
      <c r="AI24" s="26">
        <v>0.78</v>
      </c>
    </row>
    <row r="25" spans="2:35" x14ac:dyDescent="0.3">
      <c r="B25" s="58" t="s">
        <v>54</v>
      </c>
      <c r="C25" s="11" t="s">
        <v>75</v>
      </c>
      <c r="D25" s="26">
        <v>0.8</v>
      </c>
      <c r="E25" s="26">
        <v>0.82</v>
      </c>
      <c r="F25" s="26">
        <v>0.82</v>
      </c>
      <c r="G25" s="26">
        <v>0.77</v>
      </c>
      <c r="H25" s="26">
        <v>0.8</v>
      </c>
      <c r="I25" s="26">
        <v>0.7</v>
      </c>
      <c r="J25" s="26">
        <v>0.68</v>
      </c>
      <c r="K25" s="26">
        <v>0.82</v>
      </c>
      <c r="L25" s="26">
        <v>0.8</v>
      </c>
      <c r="M25" s="26">
        <v>0.8</v>
      </c>
      <c r="N25" s="26">
        <v>0.75</v>
      </c>
      <c r="O25" s="26">
        <v>0.8</v>
      </c>
      <c r="P25" s="12">
        <f t="shared" si="6"/>
        <v>0.78044410876132897</v>
      </c>
      <c r="Q25" s="27">
        <v>0.78</v>
      </c>
      <c r="R25" s="27">
        <v>0.78</v>
      </c>
      <c r="S25" s="27">
        <v>0.78</v>
      </c>
      <c r="T25" s="27">
        <v>0.78</v>
      </c>
      <c r="U25" s="27">
        <v>0.78</v>
      </c>
      <c r="V25" s="27">
        <v>0.78</v>
      </c>
      <c r="W25" s="27">
        <v>0.78</v>
      </c>
      <c r="X25" s="27">
        <v>0.78</v>
      </c>
      <c r="Y25" s="27">
        <v>0.78</v>
      </c>
      <c r="Z25" s="27">
        <v>0.78</v>
      </c>
      <c r="AA25" s="27">
        <v>0.78</v>
      </c>
      <c r="AB25" s="27">
        <v>0.78</v>
      </c>
      <c r="AC25" s="12">
        <f t="shared" si="7"/>
        <v>0.77999999999999992</v>
      </c>
      <c r="AD25" s="26">
        <v>0.78</v>
      </c>
      <c r="AE25" s="26">
        <v>0</v>
      </c>
      <c r="AF25" s="26">
        <v>0</v>
      </c>
      <c r="AG25" s="26">
        <v>0</v>
      </c>
      <c r="AH25" s="12">
        <f t="shared" si="8"/>
        <v>0.20651204819277111</v>
      </c>
      <c r="AI25" s="26">
        <v>0</v>
      </c>
    </row>
    <row r="26" spans="2:35" x14ac:dyDescent="0.3">
      <c r="B26" s="58" t="s">
        <v>54</v>
      </c>
      <c r="C26" s="11" t="s">
        <v>76</v>
      </c>
      <c r="D26" s="26">
        <v>0.7</v>
      </c>
      <c r="E26" s="26">
        <v>0.7</v>
      </c>
      <c r="F26" s="26">
        <v>0.71</v>
      </c>
      <c r="G26" s="26">
        <v>0.68</v>
      </c>
      <c r="H26" s="26">
        <v>0.71</v>
      </c>
      <c r="I26" s="26">
        <v>0.71</v>
      </c>
      <c r="J26" s="26">
        <v>0.7</v>
      </c>
      <c r="K26" s="26">
        <v>0.7</v>
      </c>
      <c r="L26" s="26">
        <v>0.7</v>
      </c>
      <c r="M26" s="26">
        <v>0.7</v>
      </c>
      <c r="N26" s="26">
        <v>0.7</v>
      </c>
      <c r="O26" s="26">
        <v>0.7</v>
      </c>
      <c r="P26" s="12">
        <f t="shared" si="6"/>
        <v>0.70089123867069469</v>
      </c>
      <c r="Q26" s="27">
        <v>0.7</v>
      </c>
      <c r="R26" s="27">
        <v>0.7</v>
      </c>
      <c r="S26" s="27">
        <v>0.7</v>
      </c>
      <c r="T26" s="27">
        <v>0.72</v>
      </c>
      <c r="U26" s="27">
        <v>0.72</v>
      </c>
      <c r="V26" s="27">
        <v>0.72</v>
      </c>
      <c r="W26" s="27">
        <v>0.7</v>
      </c>
      <c r="X26" s="27">
        <v>0.7</v>
      </c>
      <c r="Y26" s="27">
        <v>0.7</v>
      </c>
      <c r="Z26" s="27">
        <v>0.68</v>
      </c>
      <c r="AA26" s="27">
        <v>0.68</v>
      </c>
      <c r="AB26" s="27">
        <v>0.68</v>
      </c>
      <c r="AC26" s="12">
        <f t="shared" si="7"/>
        <v>0.69983081570996963</v>
      </c>
      <c r="AD26" s="26">
        <v>0.7</v>
      </c>
      <c r="AE26" s="26">
        <v>0.7</v>
      </c>
      <c r="AF26" s="26">
        <v>0.7</v>
      </c>
      <c r="AG26" s="26">
        <v>0.7</v>
      </c>
      <c r="AH26" s="12">
        <f t="shared" si="8"/>
        <v>0.7</v>
      </c>
      <c r="AI26" s="26">
        <v>0.7</v>
      </c>
    </row>
    <row r="27" spans="2:35" x14ac:dyDescent="0.3">
      <c r="B27" s="58" t="s">
        <v>54</v>
      </c>
      <c r="C27" s="11" t="s">
        <v>77</v>
      </c>
      <c r="D27" s="26">
        <v>0.72</v>
      </c>
      <c r="E27" s="26">
        <v>0.7</v>
      </c>
      <c r="F27" s="26">
        <v>0.7</v>
      </c>
      <c r="G27" s="26">
        <v>0.75</v>
      </c>
      <c r="H27" s="26">
        <v>0.73</v>
      </c>
      <c r="I27" s="26">
        <v>0.7</v>
      </c>
      <c r="J27" s="26">
        <v>0.73</v>
      </c>
      <c r="K27" s="26">
        <v>0.75</v>
      </c>
      <c r="L27" s="26">
        <v>0.72</v>
      </c>
      <c r="M27" s="26">
        <v>0.71</v>
      </c>
      <c r="N27" s="26">
        <v>0.71</v>
      </c>
      <c r="O27" s="26">
        <v>0.72</v>
      </c>
      <c r="P27" s="12">
        <f t="shared" si="6"/>
        <v>0.71988519637462223</v>
      </c>
      <c r="Q27" s="27">
        <v>0.72</v>
      </c>
      <c r="R27" s="27">
        <v>0.72</v>
      </c>
      <c r="S27" s="27">
        <v>0.72</v>
      </c>
      <c r="T27" s="27">
        <v>0.72</v>
      </c>
      <c r="U27" s="27">
        <v>0.72</v>
      </c>
      <c r="V27" s="27">
        <v>0.72</v>
      </c>
      <c r="W27" s="27">
        <v>0.72</v>
      </c>
      <c r="X27" s="27">
        <v>0.72</v>
      </c>
      <c r="Y27" s="27">
        <v>0.72</v>
      </c>
      <c r="Z27" s="27">
        <v>0.72</v>
      </c>
      <c r="AA27" s="27">
        <v>0.72</v>
      </c>
      <c r="AB27" s="27">
        <v>0.72</v>
      </c>
      <c r="AC27" s="12">
        <f t="shared" si="7"/>
        <v>0.71999999999999986</v>
      </c>
      <c r="AD27" s="26">
        <v>0.72</v>
      </c>
      <c r="AE27" s="26">
        <v>0.72</v>
      </c>
      <c r="AF27" s="26">
        <v>0.72</v>
      </c>
      <c r="AG27" s="26">
        <v>0.72</v>
      </c>
      <c r="AH27" s="12">
        <f t="shared" si="8"/>
        <v>0.72</v>
      </c>
      <c r="AI27" s="26">
        <v>0.72</v>
      </c>
    </row>
    <row r="28" spans="2:35" x14ac:dyDescent="0.3">
      <c r="B28" s="58" t="s">
        <v>54</v>
      </c>
      <c r="C28" s="11" t="s">
        <v>78</v>
      </c>
      <c r="D28" s="26">
        <v>0.77</v>
      </c>
      <c r="E28" s="26">
        <v>0.79</v>
      </c>
      <c r="F28" s="26">
        <v>0.77</v>
      </c>
      <c r="G28" s="26">
        <v>0.76</v>
      </c>
      <c r="H28" s="26">
        <v>0.88</v>
      </c>
      <c r="I28" s="26">
        <v>0.8</v>
      </c>
      <c r="J28" s="26">
        <v>0.75</v>
      </c>
      <c r="K28" s="26">
        <v>0.8</v>
      </c>
      <c r="L28" s="26">
        <v>0.89</v>
      </c>
      <c r="M28" s="26">
        <v>0.72</v>
      </c>
      <c r="N28" s="26">
        <v>0.78</v>
      </c>
      <c r="O28" s="26">
        <v>0.77</v>
      </c>
      <c r="P28" s="12">
        <f t="shared" si="6"/>
        <v>0.78903323262839875</v>
      </c>
      <c r="Q28" s="27">
        <v>0.74</v>
      </c>
      <c r="R28" s="27">
        <v>0.74</v>
      </c>
      <c r="S28" s="27">
        <v>0.74</v>
      </c>
      <c r="T28" s="27">
        <v>0.74</v>
      </c>
      <c r="U28" s="27">
        <v>0.74</v>
      </c>
      <c r="V28" s="27">
        <v>0.74</v>
      </c>
      <c r="W28" s="27">
        <v>0.76</v>
      </c>
      <c r="X28" s="27">
        <v>0.76</v>
      </c>
      <c r="Y28" s="27">
        <v>0.76</v>
      </c>
      <c r="Z28" s="27">
        <v>0.75</v>
      </c>
      <c r="AA28" s="27">
        <v>0.75</v>
      </c>
      <c r="AB28" s="27">
        <v>0.75</v>
      </c>
      <c r="AC28" s="12">
        <f t="shared" si="7"/>
        <v>0.74735951661631417</v>
      </c>
      <c r="AD28" s="26">
        <v>0.74</v>
      </c>
      <c r="AE28" s="26">
        <v>0</v>
      </c>
      <c r="AF28" s="26">
        <v>0</v>
      </c>
      <c r="AG28" s="26">
        <v>0</v>
      </c>
      <c r="AH28" s="12">
        <f t="shared" si="8"/>
        <v>0.19592168674698798</v>
      </c>
      <c r="AI28" s="26">
        <v>0</v>
      </c>
    </row>
    <row r="29" spans="2:35" x14ac:dyDescent="0.3">
      <c r="B29" s="58" t="s">
        <v>54</v>
      </c>
      <c r="C29" s="11" t="s">
        <v>79</v>
      </c>
      <c r="D29" s="26">
        <v>0.7</v>
      </c>
      <c r="E29" s="26">
        <v>0.68</v>
      </c>
      <c r="F29" s="26">
        <v>0.7</v>
      </c>
      <c r="G29" s="26">
        <v>0.72</v>
      </c>
      <c r="H29" s="26">
        <v>0.7</v>
      </c>
      <c r="I29" s="26">
        <v>0.7</v>
      </c>
      <c r="J29" s="26">
        <v>0.7</v>
      </c>
      <c r="K29" s="26">
        <v>0.68</v>
      </c>
      <c r="L29" s="26">
        <v>0.71</v>
      </c>
      <c r="M29" s="26">
        <v>0.71</v>
      </c>
      <c r="N29" s="26">
        <v>0.7</v>
      </c>
      <c r="O29" s="26">
        <v>0.7</v>
      </c>
      <c r="P29" s="12">
        <f t="shared" si="6"/>
        <v>0.69995166163141986</v>
      </c>
      <c r="Q29" s="27">
        <v>0.7</v>
      </c>
      <c r="R29" s="27">
        <v>0.7</v>
      </c>
      <c r="S29" s="27">
        <v>0.7</v>
      </c>
      <c r="T29" s="27">
        <v>0.7</v>
      </c>
      <c r="U29" s="27">
        <v>0.7</v>
      </c>
      <c r="V29" s="27">
        <v>0.7</v>
      </c>
      <c r="W29" s="27">
        <v>0.7</v>
      </c>
      <c r="X29" s="27">
        <v>0.7</v>
      </c>
      <c r="Y29" s="27">
        <v>0.7</v>
      </c>
      <c r="Z29" s="27">
        <v>0.7</v>
      </c>
      <c r="AA29" s="27">
        <v>0.7</v>
      </c>
      <c r="AB29" s="27">
        <v>0.7</v>
      </c>
      <c r="AC29" s="12">
        <f t="shared" si="7"/>
        <v>0.7</v>
      </c>
      <c r="AD29" s="26">
        <v>0.7</v>
      </c>
      <c r="AE29" s="26">
        <v>0.7</v>
      </c>
      <c r="AF29" s="26">
        <v>0.7</v>
      </c>
      <c r="AG29" s="26">
        <v>0.7</v>
      </c>
      <c r="AH29" s="12">
        <f t="shared" si="8"/>
        <v>0.7</v>
      </c>
      <c r="AI29" s="26">
        <v>0.7</v>
      </c>
    </row>
    <row r="30" spans="2:35" x14ac:dyDescent="0.3">
      <c r="B30" s="58" t="s">
        <v>54</v>
      </c>
      <c r="C30" s="11" t="s">
        <v>80</v>
      </c>
      <c r="D30" s="26">
        <v>0.6</v>
      </c>
      <c r="E30" s="26">
        <v>0.6</v>
      </c>
      <c r="F30" s="26">
        <v>0.6</v>
      </c>
      <c r="G30" s="26">
        <v>0.6</v>
      </c>
      <c r="H30" s="26">
        <v>0.6</v>
      </c>
      <c r="I30" s="26">
        <v>0.6</v>
      </c>
      <c r="J30" s="26">
        <v>0.6</v>
      </c>
      <c r="K30" s="26">
        <v>0.6</v>
      </c>
      <c r="L30" s="26">
        <v>0.6</v>
      </c>
      <c r="M30" s="26">
        <v>0.6</v>
      </c>
      <c r="N30" s="26">
        <v>0.6</v>
      </c>
      <c r="O30" s="26">
        <v>0.6</v>
      </c>
      <c r="P30" s="12">
        <f t="shared" si="6"/>
        <v>0.59999999999999987</v>
      </c>
      <c r="Q30" s="27">
        <v>0.6</v>
      </c>
      <c r="R30" s="27">
        <v>0.6</v>
      </c>
      <c r="S30" s="27">
        <v>0.6</v>
      </c>
      <c r="T30" s="27">
        <v>0.6</v>
      </c>
      <c r="U30" s="27">
        <v>0.6</v>
      </c>
      <c r="V30" s="27">
        <v>0.6</v>
      </c>
      <c r="W30" s="27">
        <v>0.6</v>
      </c>
      <c r="X30" s="27">
        <v>0.6</v>
      </c>
      <c r="Y30" s="27">
        <v>0.6</v>
      </c>
      <c r="Z30" s="27">
        <v>0.6</v>
      </c>
      <c r="AA30" s="27">
        <v>0.6</v>
      </c>
      <c r="AB30" s="27">
        <v>0.6</v>
      </c>
      <c r="AC30" s="12">
        <f t="shared" si="7"/>
        <v>0.59999999999999987</v>
      </c>
      <c r="AD30" s="26">
        <v>0</v>
      </c>
      <c r="AE30" s="26">
        <v>0</v>
      </c>
      <c r="AF30" s="26">
        <v>0</v>
      </c>
      <c r="AG30" s="26">
        <v>0</v>
      </c>
      <c r="AH30" s="12">
        <f t="shared" si="8"/>
        <v>0</v>
      </c>
      <c r="AI30" s="26">
        <v>0</v>
      </c>
    </row>
    <row r="31" spans="2:35" x14ac:dyDescent="0.3">
      <c r="B31" s="58" t="s">
        <v>54</v>
      </c>
      <c r="C31" s="11" t="s">
        <v>81</v>
      </c>
      <c r="D31" s="26">
        <v>0.8</v>
      </c>
      <c r="E31" s="26">
        <v>0.8</v>
      </c>
      <c r="F31" s="26">
        <v>0.75</v>
      </c>
      <c r="G31" s="26">
        <v>0.8</v>
      </c>
      <c r="H31" s="26">
        <v>0.77</v>
      </c>
      <c r="I31" s="26">
        <v>0.8</v>
      </c>
      <c r="J31" s="26">
        <v>0.8</v>
      </c>
      <c r="K31" s="26">
        <v>0.8</v>
      </c>
      <c r="L31" s="26">
        <v>0.73499999999999999</v>
      </c>
      <c r="M31" s="26">
        <v>0.76</v>
      </c>
      <c r="N31" s="26">
        <v>0.77</v>
      </c>
      <c r="O31" s="26">
        <v>0.77</v>
      </c>
      <c r="P31" s="12">
        <f t="shared" si="6"/>
        <v>0.77966918429003018</v>
      </c>
      <c r="Q31" s="27">
        <v>0.77</v>
      </c>
      <c r="R31" s="27">
        <v>0.77</v>
      </c>
      <c r="S31" s="27">
        <v>0.77</v>
      </c>
      <c r="T31" s="27">
        <v>0.77</v>
      </c>
      <c r="U31" s="27">
        <v>0.77</v>
      </c>
      <c r="V31" s="27">
        <v>0.77</v>
      </c>
      <c r="W31" s="27">
        <v>0.77</v>
      </c>
      <c r="X31" s="27">
        <v>0.77</v>
      </c>
      <c r="Y31" s="27">
        <v>0.77</v>
      </c>
      <c r="Z31" s="27">
        <v>0.77</v>
      </c>
      <c r="AA31" s="27">
        <v>0.77</v>
      </c>
      <c r="AB31" s="27">
        <v>0.77</v>
      </c>
      <c r="AC31" s="12">
        <f t="shared" si="7"/>
        <v>0.7699999999999998</v>
      </c>
      <c r="AD31" s="26">
        <v>0.77</v>
      </c>
      <c r="AE31" s="26">
        <v>0.77</v>
      </c>
      <c r="AF31" s="26">
        <v>0.77</v>
      </c>
      <c r="AG31" s="26">
        <v>0.77</v>
      </c>
      <c r="AH31" s="12">
        <f t="shared" si="8"/>
        <v>0.76999999999999991</v>
      </c>
      <c r="AI31" s="26">
        <v>0.77</v>
      </c>
    </row>
    <row r="33" spans="2:35" x14ac:dyDescent="0.3">
      <c r="B33" s="58" t="s">
        <v>82</v>
      </c>
      <c r="C33" s="11" t="s">
        <v>71</v>
      </c>
      <c r="D33" s="19">
        <v>0.74032258064516132</v>
      </c>
      <c r="E33" s="19">
        <v>0.73448275862068968</v>
      </c>
      <c r="F33" s="19">
        <v>0.73669354838709666</v>
      </c>
      <c r="G33" s="19">
        <v>0.71249999999999991</v>
      </c>
      <c r="H33" s="19">
        <v>0.70161290322580638</v>
      </c>
      <c r="I33" s="19">
        <v>0.70750000000000002</v>
      </c>
      <c r="J33" s="19">
        <v>0.70887096774193548</v>
      </c>
      <c r="K33" s="19">
        <v>0.70161290322580638</v>
      </c>
      <c r="L33" s="19">
        <v>0.69375000000000009</v>
      </c>
      <c r="M33" s="19">
        <v>0.69556451612903225</v>
      </c>
      <c r="N33" s="19">
        <v>0.71624999999999994</v>
      </c>
      <c r="O33" s="19">
        <v>0.73306451612903223</v>
      </c>
      <c r="P33" s="12">
        <f t="shared" ref="P33:P43" si="9">+IFERROR(P45/P21/P8/P$4/24,0)</f>
        <v>0.71491660478052765</v>
      </c>
      <c r="Q33" s="19">
        <v>0.73306451612903223</v>
      </c>
      <c r="R33" s="19">
        <v>0.73306451612903223</v>
      </c>
      <c r="S33" s="19">
        <v>0.73306451612903223</v>
      </c>
      <c r="T33" s="19">
        <v>0.73306451612903223</v>
      </c>
      <c r="U33" s="19">
        <v>0.73306451612903223</v>
      </c>
      <c r="V33" s="19">
        <v>0.73306451612903223</v>
      </c>
      <c r="W33" s="19">
        <v>0.73306451612903223</v>
      </c>
      <c r="X33" s="19">
        <v>0.73306451612903223</v>
      </c>
      <c r="Y33" s="19">
        <v>0.73306451612903223</v>
      </c>
      <c r="Z33" s="19">
        <v>0.73306451612903223</v>
      </c>
      <c r="AA33" s="19">
        <v>0.73306451612903223</v>
      </c>
      <c r="AB33" s="19">
        <v>0.73306451612903223</v>
      </c>
      <c r="AC33" s="12">
        <f t="shared" ref="AC33:AC43" si="10">+IFERROR(AC45/AC21/AC8/AC$4/24,0)</f>
        <v>0.73309488829022984</v>
      </c>
      <c r="AD33" s="19">
        <v>0.75</v>
      </c>
      <c r="AE33" s="19">
        <v>0.75</v>
      </c>
      <c r="AF33" s="19">
        <v>0.75</v>
      </c>
      <c r="AG33" s="19">
        <v>0.75</v>
      </c>
      <c r="AH33" s="12">
        <f t="shared" ref="AH33:AH43" si="11">+IFERROR(AH45/AH21/AH8/AH$4/24,0)</f>
        <v>0.75</v>
      </c>
      <c r="AI33" s="19">
        <v>0.75</v>
      </c>
    </row>
    <row r="34" spans="2:35" x14ac:dyDescent="0.3">
      <c r="B34" s="58" t="s">
        <v>82</v>
      </c>
      <c r="C34" s="11" t="s">
        <v>72</v>
      </c>
      <c r="D34" s="19">
        <v>0.65</v>
      </c>
      <c r="E34" s="19">
        <v>0.65</v>
      </c>
      <c r="F34" s="19">
        <v>0.65</v>
      </c>
      <c r="G34" s="19">
        <v>0.65</v>
      </c>
      <c r="H34" s="19">
        <v>0.65</v>
      </c>
      <c r="I34" s="19">
        <v>0.65</v>
      </c>
      <c r="J34" s="19">
        <v>0.65</v>
      </c>
      <c r="K34" s="19">
        <v>0.65</v>
      </c>
      <c r="L34" s="19">
        <v>0.65</v>
      </c>
      <c r="M34" s="19">
        <v>0.65</v>
      </c>
      <c r="N34" s="19">
        <v>0.65</v>
      </c>
      <c r="O34" s="19">
        <v>0.65</v>
      </c>
      <c r="P34" s="12">
        <f t="shared" si="9"/>
        <v>0.65035624613131948</v>
      </c>
      <c r="Q34" s="19">
        <v>0.6918333333333333</v>
      </c>
      <c r="R34" s="19">
        <v>0.6918333333333333</v>
      </c>
      <c r="S34" s="19">
        <v>0.6918333333333333</v>
      </c>
      <c r="T34" s="19">
        <v>0.65999999999999992</v>
      </c>
      <c r="U34" s="19">
        <v>0.65999999999999992</v>
      </c>
      <c r="V34" s="19">
        <v>0.65999999999999992</v>
      </c>
      <c r="W34" s="19">
        <v>0.65472826086956515</v>
      </c>
      <c r="X34" s="19">
        <v>0.65472826086956515</v>
      </c>
      <c r="Y34" s="19">
        <v>0.65472826086956515</v>
      </c>
      <c r="Z34" s="19">
        <v>0.66728260869565215</v>
      </c>
      <c r="AA34" s="19">
        <v>0.66728260869565215</v>
      </c>
      <c r="AB34" s="19">
        <v>0.66728260869565215</v>
      </c>
      <c r="AC34" s="12">
        <f t="shared" si="10"/>
        <v>0.6683531788133853</v>
      </c>
      <c r="AD34" s="19">
        <v>0.65</v>
      </c>
      <c r="AE34" s="19">
        <v>0</v>
      </c>
      <c r="AF34" s="19">
        <v>0</v>
      </c>
      <c r="AG34" s="19">
        <v>0</v>
      </c>
      <c r="AH34" s="12">
        <f t="shared" si="11"/>
        <v>2.3055369178270051</v>
      </c>
      <c r="AI34" s="19">
        <v>0</v>
      </c>
    </row>
    <row r="35" spans="2:35" x14ac:dyDescent="0.3">
      <c r="B35" s="58" t="s">
        <v>82</v>
      </c>
      <c r="C35" s="11" t="s">
        <v>73</v>
      </c>
      <c r="D35" s="19">
        <v>0.74032258064516132</v>
      </c>
      <c r="E35" s="19">
        <v>0.73448275862068968</v>
      </c>
      <c r="F35" s="19">
        <v>0.73669354838709666</v>
      </c>
      <c r="G35" s="19">
        <v>0.71249999999999991</v>
      </c>
      <c r="H35" s="19">
        <v>0.70161290322580638</v>
      </c>
      <c r="I35" s="19">
        <v>0.70750000000000002</v>
      </c>
      <c r="J35" s="19">
        <v>0.70887096774193548</v>
      </c>
      <c r="K35" s="19">
        <v>0.70161290322580638</v>
      </c>
      <c r="L35" s="19">
        <v>0.69375000000000009</v>
      </c>
      <c r="M35" s="19">
        <v>0.69556451612903225</v>
      </c>
      <c r="N35" s="19">
        <v>0.71624999999999994</v>
      </c>
      <c r="O35" s="19">
        <v>0.73306451612903223</v>
      </c>
      <c r="P35" s="12">
        <f t="shared" si="9"/>
        <v>0.7151671833490606</v>
      </c>
      <c r="Q35" s="19">
        <v>0.7148587058146324</v>
      </c>
      <c r="R35" s="19">
        <v>0.7148587058146324</v>
      </c>
      <c r="S35" s="19">
        <v>0.7148587058146324</v>
      </c>
      <c r="T35" s="19">
        <v>0.7148587058146324</v>
      </c>
      <c r="U35" s="19">
        <v>0.7148587058146324</v>
      </c>
      <c r="V35" s="19">
        <v>0.7148587058146324</v>
      </c>
      <c r="W35" s="19">
        <v>0.7148587058146324</v>
      </c>
      <c r="X35" s="19">
        <v>0.7148587058146324</v>
      </c>
      <c r="Y35" s="19">
        <v>0.7148587058146324</v>
      </c>
      <c r="Z35" s="19">
        <v>0.7148587058146324</v>
      </c>
      <c r="AA35" s="19">
        <v>0.7148587058146324</v>
      </c>
      <c r="AB35" s="19">
        <v>0.7148587058146324</v>
      </c>
      <c r="AC35" s="12">
        <f t="shared" si="10"/>
        <v>0.71485870581463251</v>
      </c>
      <c r="AD35" s="19">
        <v>0.67</v>
      </c>
      <c r="AE35" s="19">
        <v>0.67</v>
      </c>
      <c r="AF35" s="19">
        <v>0.67</v>
      </c>
      <c r="AG35" s="19">
        <v>0.67</v>
      </c>
      <c r="AH35" s="12">
        <f t="shared" si="11"/>
        <v>0.67</v>
      </c>
      <c r="AI35" s="19">
        <v>0.67</v>
      </c>
    </row>
    <row r="36" spans="2:35" x14ac:dyDescent="0.3">
      <c r="B36" s="58" t="s">
        <v>82</v>
      </c>
      <c r="C36" s="11" t="s">
        <v>74</v>
      </c>
      <c r="D36" s="19">
        <v>0.77032258064516135</v>
      </c>
      <c r="E36" s="19">
        <v>0.76448275862068971</v>
      </c>
      <c r="F36" s="19">
        <v>0.76669354838709669</v>
      </c>
      <c r="G36" s="19">
        <v>0.74249999999999994</v>
      </c>
      <c r="H36" s="19">
        <v>0.73161290322580641</v>
      </c>
      <c r="I36" s="19">
        <v>0.73750000000000004</v>
      </c>
      <c r="J36" s="19">
        <v>0.7388709677419355</v>
      </c>
      <c r="K36" s="19">
        <v>0.73161290322580641</v>
      </c>
      <c r="L36" s="19">
        <v>0.72375000000000012</v>
      </c>
      <c r="M36" s="19">
        <v>0.72556451612903228</v>
      </c>
      <c r="N36" s="19">
        <v>0.74624999999999997</v>
      </c>
      <c r="O36" s="19">
        <v>0.76306451612903226</v>
      </c>
      <c r="P36" s="12">
        <f t="shared" si="9"/>
        <v>0.74514225571197867</v>
      </c>
      <c r="Q36" s="19">
        <v>0.7448634528792395</v>
      </c>
      <c r="R36" s="19">
        <v>0.7448634528792395</v>
      </c>
      <c r="S36" s="19">
        <v>0.7448634528792395</v>
      </c>
      <c r="T36" s="19">
        <v>0.7448634528792395</v>
      </c>
      <c r="U36" s="19">
        <v>0.7448634528792395</v>
      </c>
      <c r="V36" s="19">
        <v>0.7448634528792395</v>
      </c>
      <c r="W36" s="19">
        <v>0.7448634528792395</v>
      </c>
      <c r="X36" s="19">
        <v>0.7448634528792395</v>
      </c>
      <c r="Y36" s="19">
        <v>0.7448634528792395</v>
      </c>
      <c r="Z36" s="19">
        <v>0.7448634528792395</v>
      </c>
      <c r="AA36" s="19">
        <v>0.7448634528792395</v>
      </c>
      <c r="AB36" s="19">
        <v>0.7448634528792395</v>
      </c>
      <c r="AC36" s="12">
        <f t="shared" si="10"/>
        <v>0.7448634528792395</v>
      </c>
      <c r="AD36" s="19">
        <v>0.72</v>
      </c>
      <c r="AE36" s="19">
        <v>0.72</v>
      </c>
      <c r="AF36" s="19">
        <v>0.72</v>
      </c>
      <c r="AG36" s="19">
        <v>0.72</v>
      </c>
      <c r="AH36" s="12">
        <f t="shared" si="11"/>
        <v>0.71999999999999986</v>
      </c>
      <c r="AI36" s="19">
        <v>0.72</v>
      </c>
    </row>
    <row r="37" spans="2:35" x14ac:dyDescent="0.3">
      <c r="B37" s="58" t="s">
        <v>82</v>
      </c>
      <c r="C37" s="11" t="s">
        <v>75</v>
      </c>
      <c r="D37" s="19">
        <v>0.74032258064516132</v>
      </c>
      <c r="E37" s="19">
        <v>0.73448275862068968</v>
      </c>
      <c r="F37" s="19">
        <v>0.73669354838709666</v>
      </c>
      <c r="G37" s="19">
        <v>0.71249999999999991</v>
      </c>
      <c r="H37" s="19">
        <v>0.70161290322580638</v>
      </c>
      <c r="I37" s="19">
        <v>0.70750000000000002</v>
      </c>
      <c r="J37" s="19">
        <v>0.70887096774193548</v>
      </c>
      <c r="K37" s="19">
        <v>0.70161290322580638</v>
      </c>
      <c r="L37" s="19">
        <v>0.69375000000000009</v>
      </c>
      <c r="M37" s="19">
        <v>0.69556451612903225</v>
      </c>
      <c r="N37" s="19">
        <v>0.71624999999999994</v>
      </c>
      <c r="O37" s="19">
        <v>0.73306451612903223</v>
      </c>
      <c r="P37" s="12">
        <f t="shared" si="9"/>
        <v>0.71487344000449682</v>
      </c>
      <c r="Q37" s="19">
        <v>0.71512478591983575</v>
      </c>
      <c r="R37" s="19">
        <v>0.71512478591983575</v>
      </c>
      <c r="S37" s="19">
        <v>0.71512478591983575</v>
      </c>
      <c r="T37" s="19">
        <v>0.71512478591983575</v>
      </c>
      <c r="U37" s="19">
        <v>0.71512478591983575</v>
      </c>
      <c r="V37" s="19">
        <v>0.71512478591983575</v>
      </c>
      <c r="W37" s="19">
        <v>0.71512478591983575</v>
      </c>
      <c r="X37" s="19">
        <v>0.71512478591983575</v>
      </c>
      <c r="Y37" s="19">
        <v>0.71512478591983575</v>
      </c>
      <c r="Z37" s="19">
        <v>0.71512478591983575</v>
      </c>
      <c r="AA37" s="19">
        <v>0.71512478591983575</v>
      </c>
      <c r="AB37" s="19">
        <v>0.71512478591983575</v>
      </c>
      <c r="AC37" s="12">
        <f t="shared" si="10"/>
        <v>0.71512478591983575</v>
      </c>
      <c r="AD37" s="19">
        <v>0.72</v>
      </c>
      <c r="AE37" s="19">
        <v>0</v>
      </c>
      <c r="AF37" s="19">
        <v>0</v>
      </c>
      <c r="AG37" s="19">
        <v>0</v>
      </c>
      <c r="AH37" s="12">
        <f t="shared" si="11"/>
        <v>2.5538255089776065</v>
      </c>
      <c r="AI37" s="19">
        <v>0</v>
      </c>
    </row>
    <row r="38" spans="2:35" x14ac:dyDescent="0.3">
      <c r="B38" s="58" t="s">
        <v>82</v>
      </c>
      <c r="C38" s="11" t="s">
        <v>76</v>
      </c>
      <c r="D38" s="19">
        <v>0.74032258064516132</v>
      </c>
      <c r="E38" s="19">
        <v>0.73448275862068968</v>
      </c>
      <c r="F38" s="19">
        <v>0.73669354838709666</v>
      </c>
      <c r="G38" s="19">
        <v>0.71249999999999991</v>
      </c>
      <c r="H38" s="19">
        <v>0.70161290322580638</v>
      </c>
      <c r="I38" s="19">
        <v>0.70750000000000002</v>
      </c>
      <c r="J38" s="19">
        <v>0.70887096774193548</v>
      </c>
      <c r="K38" s="19">
        <v>0.70161290322580638</v>
      </c>
      <c r="L38" s="19">
        <v>0.69375000000000009</v>
      </c>
      <c r="M38" s="19">
        <v>0.69556451612903225</v>
      </c>
      <c r="N38" s="19">
        <v>0.71624999999999994</v>
      </c>
      <c r="O38" s="19">
        <v>0.73306451612903223</v>
      </c>
      <c r="P38" s="12">
        <f t="shared" si="9"/>
        <v>0.71510318000863382</v>
      </c>
      <c r="Q38" s="19">
        <v>0.75</v>
      </c>
      <c r="R38" s="19">
        <v>0.75</v>
      </c>
      <c r="S38" s="19">
        <v>0.75</v>
      </c>
      <c r="T38" s="19">
        <v>0.75</v>
      </c>
      <c r="U38" s="19">
        <v>0.75</v>
      </c>
      <c r="V38" s="19">
        <v>0.75</v>
      </c>
      <c r="W38" s="19">
        <v>0.75</v>
      </c>
      <c r="X38" s="19">
        <v>0.75</v>
      </c>
      <c r="Y38" s="19">
        <v>0.75</v>
      </c>
      <c r="Z38" s="19">
        <v>0.75</v>
      </c>
      <c r="AA38" s="19">
        <v>0.75</v>
      </c>
      <c r="AB38" s="19">
        <v>0.75</v>
      </c>
      <c r="AC38" s="12">
        <f t="shared" si="10"/>
        <v>0.75012259009632887</v>
      </c>
      <c r="AD38" s="19">
        <v>0.63456521739130434</v>
      </c>
      <c r="AE38" s="19">
        <v>0.63456521739130434</v>
      </c>
      <c r="AF38" s="19">
        <v>0.63456521739130434</v>
      </c>
      <c r="AG38" s="19">
        <v>0.43</v>
      </c>
      <c r="AH38" s="12">
        <f t="shared" si="11"/>
        <v>0.58314445236398182</v>
      </c>
      <c r="AI38" s="19">
        <v>0.63456521739130434</v>
      </c>
    </row>
    <row r="39" spans="2:35" x14ac:dyDescent="0.3">
      <c r="B39" s="58" t="s">
        <v>82</v>
      </c>
      <c r="C39" s="11" t="s">
        <v>77</v>
      </c>
      <c r="D39" s="19">
        <v>0.6</v>
      </c>
      <c r="E39" s="19">
        <v>0.6</v>
      </c>
      <c r="F39" s="19">
        <v>0.6</v>
      </c>
      <c r="G39" s="19">
        <v>0.6</v>
      </c>
      <c r="H39" s="19">
        <v>0.6</v>
      </c>
      <c r="I39" s="19">
        <v>0.6</v>
      </c>
      <c r="J39" s="19">
        <v>0.6</v>
      </c>
      <c r="K39" s="19">
        <v>0.6</v>
      </c>
      <c r="L39" s="19">
        <v>0.6</v>
      </c>
      <c r="M39" s="19">
        <v>0.6</v>
      </c>
      <c r="N39" s="19">
        <v>0.6</v>
      </c>
      <c r="O39" s="19">
        <v>0.6</v>
      </c>
      <c r="P39" s="12">
        <f t="shared" si="9"/>
        <v>0.60023269309197713</v>
      </c>
      <c r="Q39" s="19">
        <v>0.6</v>
      </c>
      <c r="R39" s="19">
        <v>0.6</v>
      </c>
      <c r="S39" s="19">
        <v>0.6</v>
      </c>
      <c r="T39" s="19">
        <v>0.6</v>
      </c>
      <c r="U39" s="19">
        <v>0.6</v>
      </c>
      <c r="V39" s="19">
        <v>0.6</v>
      </c>
      <c r="W39" s="19">
        <v>0.6</v>
      </c>
      <c r="X39" s="19">
        <v>0.6</v>
      </c>
      <c r="Y39" s="19">
        <v>0.6</v>
      </c>
      <c r="Z39" s="19">
        <v>0.6</v>
      </c>
      <c r="AA39" s="19">
        <v>0.6</v>
      </c>
      <c r="AB39" s="19">
        <v>0.6</v>
      </c>
      <c r="AC39" s="12">
        <f t="shared" si="10"/>
        <v>0.60000000000000009</v>
      </c>
      <c r="AD39" s="19">
        <v>0.6</v>
      </c>
      <c r="AE39" s="19">
        <v>0.6</v>
      </c>
      <c r="AF39" s="19">
        <v>0.6</v>
      </c>
      <c r="AG39" s="19">
        <v>0.6</v>
      </c>
      <c r="AH39" s="12">
        <f t="shared" si="11"/>
        <v>0.60000000000000009</v>
      </c>
      <c r="AI39" s="19">
        <v>0.6</v>
      </c>
    </row>
    <row r="40" spans="2:35" x14ac:dyDescent="0.3">
      <c r="B40" s="58" t="s">
        <v>82</v>
      </c>
      <c r="C40" s="11" t="s">
        <v>78</v>
      </c>
      <c r="D40" s="19">
        <v>0.4</v>
      </c>
      <c r="E40" s="19">
        <v>0.4</v>
      </c>
      <c r="F40" s="19">
        <v>0.4</v>
      </c>
      <c r="G40" s="19">
        <v>0.4</v>
      </c>
      <c r="H40" s="19">
        <v>0.4</v>
      </c>
      <c r="I40" s="19">
        <v>0.4</v>
      </c>
      <c r="J40" s="19">
        <v>0.4</v>
      </c>
      <c r="K40" s="19">
        <v>0.4</v>
      </c>
      <c r="L40" s="19">
        <v>0.4</v>
      </c>
      <c r="M40" s="19">
        <v>0.4</v>
      </c>
      <c r="N40" s="19">
        <v>0.4</v>
      </c>
      <c r="O40" s="19">
        <v>0.4</v>
      </c>
      <c r="P40" s="12">
        <f t="shared" si="9"/>
        <v>0.40039287904115367</v>
      </c>
      <c r="Q40" s="19">
        <v>0.4</v>
      </c>
      <c r="R40" s="19">
        <v>0.4</v>
      </c>
      <c r="S40" s="19">
        <v>0.4</v>
      </c>
      <c r="T40" s="19">
        <v>0.4</v>
      </c>
      <c r="U40" s="19">
        <v>0.4</v>
      </c>
      <c r="V40" s="19">
        <v>0.4</v>
      </c>
      <c r="W40" s="19">
        <v>0.4</v>
      </c>
      <c r="X40" s="19">
        <v>0.4</v>
      </c>
      <c r="Y40" s="19">
        <v>0.4</v>
      </c>
      <c r="Z40" s="19">
        <v>0.4</v>
      </c>
      <c r="AA40" s="19">
        <v>0.4</v>
      </c>
      <c r="AB40" s="19">
        <v>0.4</v>
      </c>
      <c r="AC40" s="12">
        <f t="shared" si="10"/>
        <v>0.40010818205418319</v>
      </c>
      <c r="AD40" s="19">
        <v>0.4</v>
      </c>
      <c r="AE40" s="19">
        <v>0</v>
      </c>
      <c r="AF40" s="19">
        <v>0</v>
      </c>
      <c r="AG40" s="19">
        <v>0</v>
      </c>
      <c r="AH40" s="12">
        <f t="shared" si="11"/>
        <v>1.4187919494320032</v>
      </c>
      <c r="AI40" s="19">
        <v>0</v>
      </c>
    </row>
    <row r="41" spans="2:35" x14ac:dyDescent="0.3">
      <c r="B41" s="58" t="s">
        <v>82</v>
      </c>
      <c r="C41" s="11" t="s">
        <v>79</v>
      </c>
      <c r="D41" s="19">
        <v>0.32</v>
      </c>
      <c r="E41" s="19">
        <v>0.32</v>
      </c>
      <c r="F41" s="19">
        <v>0.32</v>
      </c>
      <c r="G41" s="19">
        <v>0.32</v>
      </c>
      <c r="H41" s="19">
        <v>0.32</v>
      </c>
      <c r="I41" s="19">
        <v>0.32</v>
      </c>
      <c r="J41" s="19">
        <v>0.32</v>
      </c>
      <c r="K41" s="19">
        <v>0.32</v>
      </c>
      <c r="L41" s="19">
        <v>0.32</v>
      </c>
      <c r="M41" s="19">
        <v>0.32</v>
      </c>
      <c r="N41" s="19">
        <v>0.32</v>
      </c>
      <c r="O41" s="19">
        <v>0.32</v>
      </c>
      <c r="P41" s="12">
        <f t="shared" si="9"/>
        <v>0.32005967504629007</v>
      </c>
      <c r="Q41" s="19">
        <v>0.25</v>
      </c>
      <c r="R41" s="19">
        <v>0.25</v>
      </c>
      <c r="S41" s="19">
        <v>0.25</v>
      </c>
      <c r="T41" s="19">
        <v>0.25</v>
      </c>
      <c r="U41" s="19">
        <v>0.25</v>
      </c>
      <c r="V41" s="19">
        <v>0.25</v>
      </c>
      <c r="W41" s="19">
        <v>0.25</v>
      </c>
      <c r="X41" s="19">
        <v>0.25</v>
      </c>
      <c r="Y41" s="19">
        <v>0.25</v>
      </c>
      <c r="Z41" s="19">
        <v>0.25</v>
      </c>
      <c r="AA41" s="19">
        <v>0.25</v>
      </c>
      <c r="AB41" s="19">
        <v>0.25</v>
      </c>
      <c r="AC41" s="12">
        <f t="shared" si="10"/>
        <v>0.25</v>
      </c>
      <c r="AD41" s="19">
        <v>0.25</v>
      </c>
      <c r="AE41" s="19">
        <v>0.25</v>
      </c>
      <c r="AF41" s="19">
        <v>0.25</v>
      </c>
      <c r="AG41" s="19">
        <v>0.25</v>
      </c>
      <c r="AH41" s="12">
        <f t="shared" si="11"/>
        <v>0.24999999999999997</v>
      </c>
      <c r="AI41" s="19">
        <v>0.25</v>
      </c>
    </row>
    <row r="42" spans="2:35" x14ac:dyDescent="0.3">
      <c r="B42" s="58" t="s">
        <v>82</v>
      </c>
      <c r="C42" s="11" t="s">
        <v>80</v>
      </c>
      <c r="D42" s="19">
        <v>0.06</v>
      </c>
      <c r="E42" s="19">
        <v>0.06</v>
      </c>
      <c r="F42" s="19">
        <v>0.06</v>
      </c>
      <c r="G42" s="19">
        <v>0.06</v>
      </c>
      <c r="H42" s="19">
        <v>0.06</v>
      </c>
      <c r="I42" s="19">
        <v>0.06</v>
      </c>
      <c r="J42" s="19">
        <v>0.06</v>
      </c>
      <c r="K42" s="19">
        <v>0.06</v>
      </c>
      <c r="L42" s="19">
        <v>0.06</v>
      </c>
      <c r="M42" s="19">
        <v>0.06</v>
      </c>
      <c r="N42" s="19">
        <v>0.06</v>
      </c>
      <c r="O42" s="19">
        <v>0.06</v>
      </c>
      <c r="P42" s="12">
        <f t="shared" si="9"/>
        <v>6.0000000000000005E-2</v>
      </c>
      <c r="Q42" s="19">
        <v>0.06</v>
      </c>
      <c r="R42" s="19">
        <v>0.06</v>
      </c>
      <c r="S42" s="19">
        <v>0.06</v>
      </c>
      <c r="T42" s="19">
        <v>0.06</v>
      </c>
      <c r="U42" s="19">
        <v>0.06</v>
      </c>
      <c r="V42" s="19">
        <v>0.06</v>
      </c>
      <c r="W42" s="19">
        <v>0.06</v>
      </c>
      <c r="X42" s="19">
        <v>0.06</v>
      </c>
      <c r="Y42" s="19">
        <v>0.06</v>
      </c>
      <c r="Z42" s="19">
        <v>0.06</v>
      </c>
      <c r="AA42" s="19">
        <v>0.06</v>
      </c>
      <c r="AB42" s="19">
        <v>0.06</v>
      </c>
      <c r="AC42" s="12">
        <f t="shared" si="10"/>
        <v>6.0000000000000005E-2</v>
      </c>
      <c r="AD42" s="19">
        <v>0.06</v>
      </c>
      <c r="AE42" s="19">
        <v>0.06</v>
      </c>
      <c r="AF42" s="19">
        <v>0.06</v>
      </c>
      <c r="AG42" s="19">
        <v>0.06</v>
      </c>
      <c r="AH42" s="12">
        <f t="shared" si="11"/>
        <v>0</v>
      </c>
      <c r="AI42" s="19">
        <v>0.06</v>
      </c>
    </row>
    <row r="43" spans="2:35" x14ac:dyDescent="0.3">
      <c r="B43" s="58" t="s">
        <v>82</v>
      </c>
      <c r="C43" s="11" t="s">
        <v>81</v>
      </c>
      <c r="D43" s="19">
        <v>0.77032258064516135</v>
      </c>
      <c r="E43" s="19">
        <v>0.76448275862068971</v>
      </c>
      <c r="F43" s="19">
        <v>0.76669354838709669</v>
      </c>
      <c r="G43" s="19">
        <v>0.74249999999999994</v>
      </c>
      <c r="H43" s="19">
        <v>0.73161290322580641</v>
      </c>
      <c r="I43" s="19">
        <v>0.73750000000000004</v>
      </c>
      <c r="J43" s="19">
        <v>0.7388709677419355</v>
      </c>
      <c r="K43" s="19">
        <v>0.73161290322580641</v>
      </c>
      <c r="L43" s="19">
        <v>0.72375000000000012</v>
      </c>
      <c r="M43" s="19">
        <v>0.72556451612903228</v>
      </c>
      <c r="N43" s="19">
        <v>0.74624999999999997</v>
      </c>
      <c r="O43" s="19">
        <v>0.76306451612903226</v>
      </c>
      <c r="P43" s="12">
        <f t="shared" si="9"/>
        <v>0.74499932656733936</v>
      </c>
      <c r="Q43" s="19">
        <v>0.75</v>
      </c>
      <c r="R43" s="19">
        <v>0.75</v>
      </c>
      <c r="S43" s="19">
        <v>0.75</v>
      </c>
      <c r="T43" s="19">
        <v>0.75</v>
      </c>
      <c r="U43" s="19">
        <v>0.75</v>
      </c>
      <c r="V43" s="19">
        <v>0.75</v>
      </c>
      <c r="W43" s="19">
        <v>0.75</v>
      </c>
      <c r="X43" s="19">
        <v>0.75</v>
      </c>
      <c r="Y43" s="19">
        <v>0.75</v>
      </c>
      <c r="Z43" s="19">
        <v>0.75</v>
      </c>
      <c r="AA43" s="19">
        <v>0.75</v>
      </c>
      <c r="AB43" s="19">
        <v>0.75</v>
      </c>
      <c r="AC43" s="12">
        <f t="shared" si="10"/>
        <v>0.75000000000000011</v>
      </c>
      <c r="AD43" s="19">
        <v>0.72521739130434792</v>
      </c>
      <c r="AE43" s="19">
        <v>0.72521739130434792</v>
      </c>
      <c r="AF43" s="19">
        <v>0.72521739130434792</v>
      </c>
      <c r="AG43" s="19">
        <v>0.8</v>
      </c>
      <c r="AH43" s="12">
        <f t="shared" si="11"/>
        <v>0.73083393182517364</v>
      </c>
      <c r="AI43" s="19">
        <v>0.72521739130434792</v>
      </c>
    </row>
    <row r="44" spans="2:35" x14ac:dyDescent="0.3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4"/>
      <c r="AD44" s="13"/>
      <c r="AE44" s="13"/>
      <c r="AF44" s="13"/>
      <c r="AG44" s="13"/>
      <c r="AH44" s="14"/>
      <c r="AI44" s="13"/>
    </row>
    <row r="45" spans="2:35" x14ac:dyDescent="0.3">
      <c r="B45" s="58" t="s">
        <v>62</v>
      </c>
      <c r="C45" s="11" t="s">
        <v>71</v>
      </c>
      <c r="D45" s="16">
        <f t="shared" ref="D45:O55" si="12">+D33*D21*D8*24*D$4</f>
        <v>782.13600000000008</v>
      </c>
      <c r="E45" s="16">
        <f t="shared" si="12"/>
        <v>695.93710344827582</v>
      </c>
      <c r="F45" s="16">
        <f t="shared" si="12"/>
        <v>783.78300000000002</v>
      </c>
      <c r="G45" s="16">
        <f t="shared" si="12"/>
        <v>728.45999999999992</v>
      </c>
      <c r="H45" s="16">
        <f t="shared" si="12"/>
        <v>746.46</v>
      </c>
      <c r="I45" s="16">
        <f t="shared" si="12"/>
        <v>738.63000000000011</v>
      </c>
      <c r="J45" s="16">
        <f t="shared" si="12"/>
        <v>632.88</v>
      </c>
      <c r="K45" s="16">
        <f t="shared" si="12"/>
        <v>751.68</v>
      </c>
      <c r="L45" s="16">
        <f t="shared" si="12"/>
        <v>704.29500000000019</v>
      </c>
      <c r="M45" s="16">
        <f t="shared" si="12"/>
        <v>693.44999999999993</v>
      </c>
      <c r="N45" s="16">
        <f t="shared" si="12"/>
        <v>732.29399999999987</v>
      </c>
      <c r="O45" s="16">
        <f t="shared" si="12"/>
        <v>785.37599999999998</v>
      </c>
      <c r="P45" s="17">
        <f t="shared" ref="P45:P55" si="13">SUM(D45:O45)</f>
        <v>8775.3811034482769</v>
      </c>
      <c r="Q45" s="16">
        <f t="shared" ref="Q45:AB55" si="14">+Q33*Q21*Q8*24*Q$4</f>
        <v>763.55999999999983</v>
      </c>
      <c r="R45" s="16">
        <f t="shared" si="14"/>
        <v>689.6670967741934</v>
      </c>
      <c r="S45" s="16">
        <f t="shared" si="14"/>
        <v>763.55999999999983</v>
      </c>
      <c r="T45" s="16">
        <f t="shared" si="14"/>
        <v>744.20709677419359</v>
      </c>
      <c r="U45" s="16">
        <f t="shared" si="14"/>
        <v>769.01400000000001</v>
      </c>
      <c r="V45" s="16">
        <f t="shared" si="14"/>
        <v>744.20709677419359</v>
      </c>
      <c r="W45" s="16">
        <f t="shared" si="14"/>
        <v>763.55999999999983</v>
      </c>
      <c r="X45" s="16">
        <f t="shared" si="14"/>
        <v>763.55999999999983</v>
      </c>
      <c r="Y45" s="16">
        <f t="shared" si="14"/>
        <v>738.92903225806435</v>
      </c>
      <c r="Z45" s="16">
        <f t="shared" si="14"/>
        <v>763.55999999999983</v>
      </c>
      <c r="AA45" s="16">
        <f t="shared" si="14"/>
        <v>738.92903225806435</v>
      </c>
      <c r="AB45" s="16">
        <f t="shared" si="14"/>
        <v>763.55999999999983</v>
      </c>
      <c r="AC45" s="17">
        <f t="shared" ref="AC45:AC55" si="15">SUM(Q45:AB45)</f>
        <v>9006.3133548387068</v>
      </c>
      <c r="AD45" s="16">
        <f t="shared" ref="AD45:AG55" si="16">+AD33*AD21*AD8*24*AD$4</f>
        <v>2293.1999999999998</v>
      </c>
      <c r="AE45" s="16">
        <f t="shared" si="16"/>
        <v>2293.1999999999998</v>
      </c>
      <c r="AF45" s="16">
        <f t="shared" si="16"/>
        <v>2318.3999999999996</v>
      </c>
      <c r="AG45" s="16">
        <f t="shared" si="16"/>
        <v>2318.3999999999996</v>
      </c>
      <c r="AH45" s="17">
        <f t="shared" ref="AH45:AH55" si="17">SUM(AD45:AG45)</f>
        <v>9223.1999999999989</v>
      </c>
      <c r="AI45" s="16">
        <f t="shared" ref="AI45:AI55" si="18">+AI33*AI21*AI8*24*AI$4</f>
        <v>2293.1999999999998</v>
      </c>
    </row>
    <row r="46" spans="2:35" x14ac:dyDescent="0.3">
      <c r="B46" s="58" t="s">
        <v>62</v>
      </c>
      <c r="C46" s="11" t="s">
        <v>72</v>
      </c>
      <c r="D46" s="16">
        <f t="shared" si="12"/>
        <v>367.53600000000006</v>
      </c>
      <c r="E46" s="16">
        <f t="shared" si="12"/>
        <v>283.92</v>
      </c>
      <c r="F46" s="16">
        <f t="shared" si="12"/>
        <v>314.34000000000003</v>
      </c>
      <c r="G46" s="16">
        <f t="shared" si="12"/>
        <v>346.32</v>
      </c>
      <c r="H46" s="16">
        <f t="shared" si="12"/>
        <v>348.19200000000001</v>
      </c>
      <c r="I46" s="16">
        <f t="shared" si="12"/>
        <v>332.28</v>
      </c>
      <c r="J46" s="16">
        <f t="shared" si="12"/>
        <v>338.51999999999992</v>
      </c>
      <c r="K46" s="16">
        <f t="shared" si="12"/>
        <v>348.19200000000001</v>
      </c>
      <c r="L46" s="16">
        <f t="shared" si="12"/>
        <v>341.64</v>
      </c>
      <c r="M46" s="16">
        <f t="shared" si="12"/>
        <v>343.35599999999994</v>
      </c>
      <c r="N46" s="16">
        <f t="shared" si="12"/>
        <v>336.96</v>
      </c>
      <c r="O46" s="16">
        <f t="shared" si="12"/>
        <v>348.19200000000001</v>
      </c>
      <c r="P46" s="17">
        <f t="shared" si="13"/>
        <v>4049.4479999999999</v>
      </c>
      <c r="Q46" s="16">
        <f t="shared" si="14"/>
        <v>360.30679999999995</v>
      </c>
      <c r="R46" s="16">
        <f t="shared" si="14"/>
        <v>325.43839999999994</v>
      </c>
      <c r="S46" s="16">
        <f t="shared" si="14"/>
        <v>360.30679999999995</v>
      </c>
      <c r="T46" s="16">
        <f t="shared" si="14"/>
        <v>332.63999999999993</v>
      </c>
      <c r="U46" s="16">
        <f t="shared" si="14"/>
        <v>343.72799999999989</v>
      </c>
      <c r="V46" s="16">
        <f t="shared" si="14"/>
        <v>332.63999999999993</v>
      </c>
      <c r="W46" s="16">
        <f t="shared" si="14"/>
        <v>340.98247826086953</v>
      </c>
      <c r="X46" s="16">
        <f t="shared" si="14"/>
        <v>340.98247826086953</v>
      </c>
      <c r="Y46" s="16">
        <f t="shared" si="14"/>
        <v>329.98304347826087</v>
      </c>
      <c r="Z46" s="16">
        <f t="shared" si="14"/>
        <v>352.48536521739123</v>
      </c>
      <c r="AA46" s="16">
        <f t="shared" si="14"/>
        <v>341.11486956521736</v>
      </c>
      <c r="AB46" s="16">
        <f t="shared" si="14"/>
        <v>352.48536521739123</v>
      </c>
      <c r="AC46" s="17">
        <f t="shared" si="15"/>
        <v>4113.0935999999983</v>
      </c>
      <c r="AD46" s="16">
        <f t="shared" si="16"/>
        <v>993.7199999999998</v>
      </c>
      <c r="AE46" s="16">
        <f t="shared" si="16"/>
        <v>0</v>
      </c>
      <c r="AF46" s="16">
        <f t="shared" si="16"/>
        <v>0</v>
      </c>
      <c r="AG46" s="16">
        <f t="shared" si="16"/>
        <v>0</v>
      </c>
      <c r="AH46" s="17">
        <f t="shared" si="17"/>
        <v>993.7199999999998</v>
      </c>
      <c r="AI46" s="16">
        <f t="shared" si="18"/>
        <v>0</v>
      </c>
    </row>
    <row r="47" spans="2:35" x14ac:dyDescent="0.3">
      <c r="B47" s="58" t="s">
        <v>62</v>
      </c>
      <c r="C47" s="11" t="s">
        <v>73</v>
      </c>
      <c r="D47" s="16">
        <f t="shared" si="12"/>
        <v>727.05600000000004</v>
      </c>
      <c r="E47" s="16">
        <f t="shared" si="12"/>
        <v>661.38703448275862</v>
      </c>
      <c r="F47" s="16">
        <f t="shared" si="12"/>
        <v>838.59299999999996</v>
      </c>
      <c r="G47" s="16">
        <f t="shared" si="12"/>
        <v>754.11</v>
      </c>
      <c r="H47" s="16">
        <f t="shared" si="12"/>
        <v>699.48</v>
      </c>
      <c r="I47" s="16">
        <f t="shared" si="12"/>
        <v>687.69</v>
      </c>
      <c r="J47" s="16">
        <f t="shared" si="12"/>
        <v>706.71599999999989</v>
      </c>
      <c r="K47" s="16">
        <f t="shared" si="12"/>
        <v>657.71999999999991</v>
      </c>
      <c r="L47" s="16">
        <f t="shared" si="12"/>
        <v>759.24000000000024</v>
      </c>
      <c r="M47" s="16">
        <f t="shared" si="12"/>
        <v>755.54999999999984</v>
      </c>
      <c r="N47" s="16">
        <f t="shared" si="12"/>
        <v>773.55</v>
      </c>
      <c r="O47" s="16">
        <f t="shared" si="12"/>
        <v>752.65199999999982</v>
      </c>
      <c r="P47" s="17">
        <f t="shared" si="13"/>
        <v>8773.744034482761</v>
      </c>
      <c r="Q47" s="16">
        <f t="shared" si="14"/>
        <v>744.59682797652113</v>
      </c>
      <c r="R47" s="16">
        <f t="shared" si="14"/>
        <v>672.53907043040613</v>
      </c>
      <c r="S47" s="16">
        <f t="shared" si="14"/>
        <v>744.59682797652113</v>
      </c>
      <c r="T47" s="16">
        <f t="shared" si="14"/>
        <v>720.57757546114942</v>
      </c>
      <c r="U47" s="16">
        <f t="shared" si="14"/>
        <v>744.59682797652113</v>
      </c>
      <c r="V47" s="16">
        <f t="shared" si="14"/>
        <v>720.57757546114942</v>
      </c>
      <c r="W47" s="16">
        <f t="shared" si="14"/>
        <v>744.59682797652113</v>
      </c>
      <c r="X47" s="16">
        <f t="shared" si="14"/>
        <v>744.59682797652113</v>
      </c>
      <c r="Y47" s="16">
        <f t="shared" si="14"/>
        <v>720.57757546114942</v>
      </c>
      <c r="Z47" s="16">
        <f t="shared" si="14"/>
        <v>744.59682797652113</v>
      </c>
      <c r="AA47" s="16">
        <f t="shared" si="14"/>
        <v>720.57757546114942</v>
      </c>
      <c r="AB47" s="16">
        <f t="shared" si="14"/>
        <v>744.59682797652113</v>
      </c>
      <c r="AC47" s="17">
        <f t="shared" si="15"/>
        <v>8767.0271681106533</v>
      </c>
      <c r="AD47" s="16">
        <f t="shared" si="16"/>
        <v>2048.5920000000001</v>
      </c>
      <c r="AE47" s="16">
        <f t="shared" si="16"/>
        <v>2048.5920000000001</v>
      </c>
      <c r="AF47" s="16">
        <f t="shared" si="16"/>
        <v>2071.1040000000003</v>
      </c>
      <c r="AG47" s="16">
        <f t="shared" si="16"/>
        <v>2071.1040000000003</v>
      </c>
      <c r="AH47" s="17">
        <f t="shared" si="17"/>
        <v>8239.3919999999998</v>
      </c>
      <c r="AI47" s="16">
        <f t="shared" si="18"/>
        <v>2048.5920000000001</v>
      </c>
    </row>
    <row r="48" spans="2:35" x14ac:dyDescent="0.3">
      <c r="B48" s="58" t="s">
        <v>62</v>
      </c>
      <c r="C48" s="11" t="s">
        <v>74</v>
      </c>
      <c r="D48" s="16">
        <f t="shared" si="12"/>
        <v>447.03360000000004</v>
      </c>
      <c r="E48" s="16">
        <f t="shared" si="12"/>
        <v>400.71128275862071</v>
      </c>
      <c r="F48" s="16">
        <f t="shared" si="12"/>
        <v>456.33600000000001</v>
      </c>
      <c r="G48" s="16">
        <f t="shared" si="12"/>
        <v>400.95</v>
      </c>
      <c r="H48" s="16">
        <f t="shared" si="12"/>
        <v>435.45600000000002</v>
      </c>
      <c r="I48" s="16">
        <f t="shared" si="12"/>
        <v>424.80000000000007</v>
      </c>
      <c r="J48" s="16">
        <f t="shared" si="12"/>
        <v>357.31799999999998</v>
      </c>
      <c r="K48" s="16">
        <f t="shared" si="12"/>
        <v>435.45600000000002</v>
      </c>
      <c r="L48" s="16">
        <f t="shared" si="12"/>
        <v>416.88</v>
      </c>
      <c r="M48" s="16">
        <f t="shared" si="12"/>
        <v>442.65240000000006</v>
      </c>
      <c r="N48" s="16">
        <f t="shared" si="12"/>
        <v>402.97500000000002</v>
      </c>
      <c r="O48" s="16">
        <f t="shared" si="12"/>
        <v>454.17599999999999</v>
      </c>
      <c r="P48" s="17">
        <f t="shared" si="13"/>
        <v>5074.7442827586219</v>
      </c>
      <c r="Q48" s="16">
        <f t="shared" si="14"/>
        <v>432.25915897488034</v>
      </c>
      <c r="R48" s="16">
        <f t="shared" si="14"/>
        <v>390.42762746118223</v>
      </c>
      <c r="S48" s="16">
        <f t="shared" si="14"/>
        <v>432.25915897488034</v>
      </c>
      <c r="T48" s="16">
        <f t="shared" si="14"/>
        <v>418.31531513698098</v>
      </c>
      <c r="U48" s="16">
        <f t="shared" si="14"/>
        <v>432.25915897488034</v>
      </c>
      <c r="V48" s="16">
        <f t="shared" si="14"/>
        <v>418.31531513698098</v>
      </c>
      <c r="W48" s="16">
        <f t="shared" si="14"/>
        <v>432.25915897488034</v>
      </c>
      <c r="X48" s="16">
        <f t="shared" si="14"/>
        <v>432.25915897488034</v>
      </c>
      <c r="Y48" s="16">
        <f t="shared" si="14"/>
        <v>418.31531513698098</v>
      </c>
      <c r="Z48" s="16">
        <f t="shared" si="14"/>
        <v>432.25915897488034</v>
      </c>
      <c r="AA48" s="16">
        <f t="shared" si="14"/>
        <v>418.31531513698098</v>
      </c>
      <c r="AB48" s="16">
        <f t="shared" si="14"/>
        <v>432.25915897488034</v>
      </c>
      <c r="AC48" s="17">
        <f t="shared" si="15"/>
        <v>5089.5030008332678</v>
      </c>
      <c r="AD48" s="16">
        <f t="shared" si="16"/>
        <v>1226.5344</v>
      </c>
      <c r="AE48" s="16">
        <f t="shared" si="16"/>
        <v>1226.5344</v>
      </c>
      <c r="AF48" s="16">
        <f t="shared" si="16"/>
        <v>1240.0128</v>
      </c>
      <c r="AG48" s="16">
        <f t="shared" si="16"/>
        <v>1240.0128</v>
      </c>
      <c r="AH48" s="17">
        <f t="shared" si="17"/>
        <v>4933.0944</v>
      </c>
      <c r="AI48" s="16">
        <f t="shared" si="18"/>
        <v>1226.5344</v>
      </c>
    </row>
    <row r="49" spans="2:35" x14ac:dyDescent="0.3">
      <c r="B49" s="58" t="s">
        <v>62</v>
      </c>
      <c r="C49" s="11" t="s">
        <v>75</v>
      </c>
      <c r="D49" s="16">
        <f t="shared" si="12"/>
        <v>440.64000000000004</v>
      </c>
      <c r="E49" s="16">
        <f t="shared" si="12"/>
        <v>404.72937931034483</v>
      </c>
      <c r="F49" s="16">
        <f t="shared" si="12"/>
        <v>449.44199999999989</v>
      </c>
      <c r="G49" s="16">
        <f t="shared" si="12"/>
        <v>395.00999999999993</v>
      </c>
      <c r="H49" s="16">
        <f t="shared" si="12"/>
        <v>417.59999999999997</v>
      </c>
      <c r="I49" s="16">
        <f t="shared" si="12"/>
        <v>356.58</v>
      </c>
      <c r="J49" s="16">
        <f t="shared" si="12"/>
        <v>358.63200000000001</v>
      </c>
      <c r="K49" s="16">
        <f t="shared" si="12"/>
        <v>428.03999999999991</v>
      </c>
      <c r="L49" s="16">
        <f t="shared" si="12"/>
        <v>399.6</v>
      </c>
      <c r="M49" s="16">
        <f t="shared" si="12"/>
        <v>414</v>
      </c>
      <c r="N49" s="16">
        <f t="shared" si="12"/>
        <v>386.77499999999998</v>
      </c>
      <c r="O49" s="16">
        <f t="shared" si="12"/>
        <v>436.32</v>
      </c>
      <c r="P49" s="17">
        <f t="shared" si="13"/>
        <v>4887.3683793103446</v>
      </c>
      <c r="Q49" s="16">
        <f t="shared" si="14"/>
        <v>415.00121576499913</v>
      </c>
      <c r="R49" s="16">
        <f t="shared" si="14"/>
        <v>374.83980778774111</v>
      </c>
      <c r="S49" s="16">
        <f t="shared" si="14"/>
        <v>415.00121576499913</v>
      </c>
      <c r="T49" s="16">
        <f t="shared" si="14"/>
        <v>401.61407977257977</v>
      </c>
      <c r="U49" s="16">
        <f t="shared" si="14"/>
        <v>415.00121576499913</v>
      </c>
      <c r="V49" s="16">
        <f t="shared" si="14"/>
        <v>401.61407977257977</v>
      </c>
      <c r="W49" s="16">
        <f t="shared" si="14"/>
        <v>415.00121576499913</v>
      </c>
      <c r="X49" s="16">
        <f t="shared" si="14"/>
        <v>415.00121576499913</v>
      </c>
      <c r="Y49" s="16">
        <f t="shared" si="14"/>
        <v>401.61407977257977</v>
      </c>
      <c r="Z49" s="16">
        <f t="shared" si="14"/>
        <v>415.00121576499913</v>
      </c>
      <c r="AA49" s="16">
        <f t="shared" si="14"/>
        <v>401.61407977257977</v>
      </c>
      <c r="AB49" s="16">
        <f t="shared" si="14"/>
        <v>415.00121576499913</v>
      </c>
      <c r="AC49" s="17">
        <f t="shared" si="15"/>
        <v>4886.3046372330537</v>
      </c>
      <c r="AD49" s="16">
        <f t="shared" si="16"/>
        <v>1226.5344</v>
      </c>
      <c r="AE49" s="16">
        <f t="shared" si="16"/>
        <v>0</v>
      </c>
      <c r="AF49" s="16">
        <f t="shared" si="16"/>
        <v>0</v>
      </c>
      <c r="AG49" s="16">
        <f t="shared" si="16"/>
        <v>0</v>
      </c>
      <c r="AH49" s="17">
        <f t="shared" si="17"/>
        <v>1226.5344</v>
      </c>
      <c r="AI49" s="16">
        <f t="shared" si="18"/>
        <v>0</v>
      </c>
    </row>
    <row r="50" spans="2:35" x14ac:dyDescent="0.3">
      <c r="B50" s="58" t="s">
        <v>62</v>
      </c>
      <c r="C50" s="11" t="s">
        <v>76</v>
      </c>
      <c r="D50" s="16">
        <f t="shared" si="12"/>
        <v>385.56</v>
      </c>
      <c r="E50" s="16">
        <f t="shared" si="12"/>
        <v>345.50068965517244</v>
      </c>
      <c r="F50" s="16">
        <f t="shared" si="12"/>
        <v>389.1509999999999</v>
      </c>
      <c r="G50" s="16">
        <f t="shared" si="12"/>
        <v>348.84000000000003</v>
      </c>
      <c r="H50" s="16">
        <f t="shared" si="12"/>
        <v>370.61999999999995</v>
      </c>
      <c r="I50" s="16">
        <f t="shared" si="12"/>
        <v>361.67400000000004</v>
      </c>
      <c r="J50" s="16">
        <f t="shared" si="12"/>
        <v>369.17999999999995</v>
      </c>
      <c r="K50" s="16">
        <f t="shared" si="12"/>
        <v>365.39999999999992</v>
      </c>
      <c r="L50" s="16">
        <f t="shared" si="12"/>
        <v>349.65000000000003</v>
      </c>
      <c r="M50" s="16">
        <f t="shared" si="12"/>
        <v>362.25</v>
      </c>
      <c r="N50" s="16">
        <f t="shared" si="12"/>
        <v>360.98999999999995</v>
      </c>
      <c r="O50" s="16">
        <f t="shared" si="12"/>
        <v>381.77999999999992</v>
      </c>
      <c r="P50" s="17">
        <f t="shared" si="13"/>
        <v>4390.5956896551716</v>
      </c>
      <c r="Q50" s="16">
        <f t="shared" si="14"/>
        <v>390.59999999999991</v>
      </c>
      <c r="R50" s="16">
        <f t="shared" si="14"/>
        <v>352.79999999999995</v>
      </c>
      <c r="S50" s="16">
        <f t="shared" si="14"/>
        <v>390.59999999999991</v>
      </c>
      <c r="T50" s="16">
        <f t="shared" si="14"/>
        <v>388.8</v>
      </c>
      <c r="U50" s="16">
        <f t="shared" si="14"/>
        <v>401.76000000000005</v>
      </c>
      <c r="V50" s="16">
        <f t="shared" si="14"/>
        <v>388.8</v>
      </c>
      <c r="W50" s="16">
        <f t="shared" si="14"/>
        <v>390.59999999999991</v>
      </c>
      <c r="X50" s="16">
        <f t="shared" si="14"/>
        <v>390.59999999999991</v>
      </c>
      <c r="Y50" s="16">
        <f t="shared" si="14"/>
        <v>377.99999999999994</v>
      </c>
      <c r="Z50" s="16">
        <f t="shared" si="14"/>
        <v>379.44</v>
      </c>
      <c r="AA50" s="16">
        <f t="shared" si="14"/>
        <v>367.2</v>
      </c>
      <c r="AB50" s="16">
        <f t="shared" si="14"/>
        <v>379.44</v>
      </c>
      <c r="AC50" s="17">
        <f t="shared" si="15"/>
        <v>4598.6399999999994</v>
      </c>
      <c r="AD50" s="16">
        <f t="shared" si="16"/>
        <v>970.12330434782598</v>
      </c>
      <c r="AE50" s="16">
        <f t="shared" si="16"/>
        <v>970.12330434782598</v>
      </c>
      <c r="AF50" s="16">
        <f t="shared" si="16"/>
        <v>980.78399999999988</v>
      </c>
      <c r="AG50" s="16">
        <f t="shared" si="16"/>
        <v>664.60800000000006</v>
      </c>
      <c r="AH50" s="17">
        <f t="shared" si="17"/>
        <v>3585.6386086956518</v>
      </c>
      <c r="AI50" s="16">
        <f t="shared" si="18"/>
        <v>970.12330434782598</v>
      </c>
    </row>
    <row r="51" spans="2:35" x14ac:dyDescent="0.3">
      <c r="B51" s="58" t="s">
        <v>62</v>
      </c>
      <c r="C51" s="11" t="s">
        <v>77</v>
      </c>
      <c r="D51" s="16">
        <f t="shared" si="12"/>
        <v>321.40800000000002</v>
      </c>
      <c r="E51" s="16">
        <f t="shared" si="12"/>
        <v>282.24</v>
      </c>
      <c r="F51" s="16">
        <f t="shared" si="12"/>
        <v>312.48</v>
      </c>
      <c r="G51" s="16">
        <f t="shared" si="12"/>
        <v>323.99999999999994</v>
      </c>
      <c r="H51" s="16">
        <f t="shared" si="12"/>
        <v>325.87200000000001</v>
      </c>
      <c r="I51" s="16">
        <f t="shared" si="12"/>
        <v>302.39999999999998</v>
      </c>
      <c r="J51" s="16">
        <f t="shared" si="12"/>
        <v>325.87200000000001</v>
      </c>
      <c r="K51" s="16">
        <f t="shared" si="12"/>
        <v>334.79999999999995</v>
      </c>
      <c r="L51" s="16">
        <f t="shared" si="12"/>
        <v>311.04000000000002</v>
      </c>
      <c r="M51" s="16">
        <f t="shared" si="12"/>
        <v>316.94400000000002</v>
      </c>
      <c r="N51" s="16">
        <f t="shared" si="12"/>
        <v>306.72000000000003</v>
      </c>
      <c r="O51" s="16">
        <f t="shared" si="12"/>
        <v>321.40800000000002</v>
      </c>
      <c r="P51" s="17">
        <f t="shared" si="13"/>
        <v>3785.1839999999997</v>
      </c>
      <c r="Q51" s="16">
        <f t="shared" si="14"/>
        <v>321.40800000000002</v>
      </c>
      <c r="R51" s="16">
        <f t="shared" si="14"/>
        <v>290.30400000000003</v>
      </c>
      <c r="S51" s="16">
        <f t="shared" si="14"/>
        <v>321.40800000000002</v>
      </c>
      <c r="T51" s="16">
        <f t="shared" si="14"/>
        <v>311.04000000000002</v>
      </c>
      <c r="U51" s="16">
        <f t="shared" si="14"/>
        <v>321.40800000000002</v>
      </c>
      <c r="V51" s="16">
        <f t="shared" si="14"/>
        <v>311.04000000000002</v>
      </c>
      <c r="W51" s="16">
        <f t="shared" si="14"/>
        <v>321.40800000000002</v>
      </c>
      <c r="X51" s="16">
        <f t="shared" si="14"/>
        <v>321.40800000000002</v>
      </c>
      <c r="Y51" s="16">
        <f t="shared" si="14"/>
        <v>311.04000000000002</v>
      </c>
      <c r="Z51" s="16">
        <f t="shared" si="14"/>
        <v>321.40800000000002</v>
      </c>
      <c r="AA51" s="16">
        <f t="shared" si="14"/>
        <v>311.04000000000002</v>
      </c>
      <c r="AB51" s="16">
        <f t="shared" si="14"/>
        <v>321.40800000000002</v>
      </c>
      <c r="AC51" s="17">
        <f t="shared" si="15"/>
        <v>3784.3199999999997</v>
      </c>
      <c r="AD51" s="16">
        <f t="shared" si="16"/>
        <v>943.48800000000006</v>
      </c>
      <c r="AE51" s="16">
        <f t="shared" si="16"/>
        <v>943.48800000000006</v>
      </c>
      <c r="AF51" s="16">
        <f t="shared" si="16"/>
        <v>953.85599999999999</v>
      </c>
      <c r="AG51" s="16">
        <f t="shared" si="16"/>
        <v>953.85599999999999</v>
      </c>
      <c r="AH51" s="17">
        <f t="shared" si="17"/>
        <v>3794.6880000000001</v>
      </c>
      <c r="AI51" s="16">
        <f t="shared" si="18"/>
        <v>943.48800000000006</v>
      </c>
    </row>
    <row r="52" spans="2:35" x14ac:dyDescent="0.3">
      <c r="B52" s="58" t="s">
        <v>62</v>
      </c>
      <c r="C52" s="11" t="s">
        <v>78</v>
      </c>
      <c r="D52" s="16">
        <f t="shared" si="12"/>
        <v>229.15200000000004</v>
      </c>
      <c r="E52" s="16">
        <f t="shared" si="12"/>
        <v>212.35200000000003</v>
      </c>
      <c r="F52" s="16">
        <f t="shared" si="12"/>
        <v>229.15200000000004</v>
      </c>
      <c r="G52" s="16">
        <f t="shared" si="12"/>
        <v>218.88000000000002</v>
      </c>
      <c r="H52" s="16">
        <f t="shared" si="12"/>
        <v>261.88800000000003</v>
      </c>
      <c r="I52" s="16">
        <f t="shared" si="12"/>
        <v>230.40000000000003</v>
      </c>
      <c r="J52" s="16">
        <f t="shared" si="12"/>
        <v>223.20000000000005</v>
      </c>
      <c r="K52" s="16">
        <f t="shared" si="12"/>
        <v>238.08000000000004</v>
      </c>
      <c r="L52" s="16">
        <f t="shared" si="12"/>
        <v>256.32</v>
      </c>
      <c r="M52" s="16">
        <f t="shared" si="12"/>
        <v>214.27199999999996</v>
      </c>
      <c r="N52" s="16">
        <f t="shared" si="12"/>
        <v>224.64000000000004</v>
      </c>
      <c r="O52" s="16">
        <f t="shared" si="12"/>
        <v>229.15200000000004</v>
      </c>
      <c r="P52" s="17">
        <f t="shared" si="13"/>
        <v>2767.4880000000003</v>
      </c>
      <c r="Q52" s="16">
        <f t="shared" si="14"/>
        <v>220.22399999999999</v>
      </c>
      <c r="R52" s="16">
        <f t="shared" si="14"/>
        <v>198.91199999999998</v>
      </c>
      <c r="S52" s="16">
        <f t="shared" si="14"/>
        <v>220.22399999999999</v>
      </c>
      <c r="T52" s="16">
        <f t="shared" si="14"/>
        <v>213.11999999999998</v>
      </c>
      <c r="U52" s="16">
        <f t="shared" si="14"/>
        <v>220.22399999999999</v>
      </c>
      <c r="V52" s="16">
        <f t="shared" si="14"/>
        <v>213.11999999999998</v>
      </c>
      <c r="W52" s="16">
        <f t="shared" si="14"/>
        <v>226.17600000000004</v>
      </c>
      <c r="X52" s="16">
        <f t="shared" si="14"/>
        <v>226.17600000000004</v>
      </c>
      <c r="Y52" s="16">
        <f t="shared" si="14"/>
        <v>218.88000000000002</v>
      </c>
      <c r="Z52" s="16">
        <f t="shared" si="14"/>
        <v>223.20000000000005</v>
      </c>
      <c r="AA52" s="16">
        <f t="shared" si="14"/>
        <v>216.00000000000003</v>
      </c>
      <c r="AB52" s="16">
        <f t="shared" si="14"/>
        <v>223.20000000000005</v>
      </c>
      <c r="AC52" s="17">
        <f t="shared" si="15"/>
        <v>2619.4560000000001</v>
      </c>
      <c r="AD52" s="16">
        <f t="shared" si="16"/>
        <v>646.46399999999994</v>
      </c>
      <c r="AE52" s="16">
        <f t="shared" si="16"/>
        <v>0</v>
      </c>
      <c r="AF52" s="16">
        <f t="shared" si="16"/>
        <v>0</v>
      </c>
      <c r="AG52" s="16">
        <f t="shared" si="16"/>
        <v>0</v>
      </c>
      <c r="AH52" s="17">
        <f t="shared" si="17"/>
        <v>646.46399999999994</v>
      </c>
      <c r="AI52" s="16">
        <f t="shared" si="18"/>
        <v>0</v>
      </c>
    </row>
    <row r="53" spans="2:35" x14ac:dyDescent="0.3">
      <c r="B53" s="58" t="s">
        <v>62</v>
      </c>
      <c r="C53" s="11" t="s">
        <v>79</v>
      </c>
      <c r="D53" s="16">
        <f t="shared" si="12"/>
        <v>166.65599999999998</v>
      </c>
      <c r="E53" s="16">
        <f t="shared" si="12"/>
        <v>146.22720000000001</v>
      </c>
      <c r="F53" s="16">
        <f t="shared" si="12"/>
        <v>166.65599999999998</v>
      </c>
      <c r="G53" s="16">
        <f t="shared" si="12"/>
        <v>165.88800000000001</v>
      </c>
      <c r="H53" s="16">
        <f t="shared" si="12"/>
        <v>166.65599999999998</v>
      </c>
      <c r="I53" s="16">
        <f t="shared" si="12"/>
        <v>161.27999999999997</v>
      </c>
      <c r="J53" s="16">
        <f t="shared" si="12"/>
        <v>166.65599999999998</v>
      </c>
      <c r="K53" s="16">
        <f t="shared" si="12"/>
        <v>161.89440000000002</v>
      </c>
      <c r="L53" s="16">
        <f t="shared" si="12"/>
        <v>163.584</v>
      </c>
      <c r="M53" s="16">
        <f t="shared" si="12"/>
        <v>169.0368</v>
      </c>
      <c r="N53" s="16">
        <f t="shared" si="12"/>
        <v>161.27999999999997</v>
      </c>
      <c r="O53" s="16">
        <f t="shared" si="12"/>
        <v>166.65599999999998</v>
      </c>
      <c r="P53" s="17">
        <f t="shared" si="13"/>
        <v>1962.4703999999999</v>
      </c>
      <c r="Q53" s="16">
        <f t="shared" si="14"/>
        <v>130.19999999999999</v>
      </c>
      <c r="R53" s="16">
        <f t="shared" si="14"/>
        <v>117.59999999999998</v>
      </c>
      <c r="S53" s="16">
        <f t="shared" si="14"/>
        <v>130.19999999999999</v>
      </c>
      <c r="T53" s="16">
        <f t="shared" si="14"/>
        <v>125.99999999999997</v>
      </c>
      <c r="U53" s="16">
        <f t="shared" si="14"/>
        <v>130.19999999999999</v>
      </c>
      <c r="V53" s="16">
        <f t="shared" si="14"/>
        <v>125.99999999999997</v>
      </c>
      <c r="W53" s="16">
        <f t="shared" si="14"/>
        <v>130.19999999999999</v>
      </c>
      <c r="X53" s="16">
        <f t="shared" si="14"/>
        <v>130.19999999999999</v>
      </c>
      <c r="Y53" s="16">
        <f t="shared" si="14"/>
        <v>125.99999999999997</v>
      </c>
      <c r="Z53" s="16">
        <f t="shared" si="14"/>
        <v>130.19999999999999</v>
      </c>
      <c r="AA53" s="16">
        <f t="shared" si="14"/>
        <v>125.99999999999997</v>
      </c>
      <c r="AB53" s="16">
        <f t="shared" si="14"/>
        <v>130.19999999999999</v>
      </c>
      <c r="AC53" s="17">
        <f t="shared" si="15"/>
        <v>1533</v>
      </c>
      <c r="AD53" s="16">
        <f t="shared" si="16"/>
        <v>382.19999999999993</v>
      </c>
      <c r="AE53" s="16">
        <f t="shared" si="16"/>
        <v>382.19999999999993</v>
      </c>
      <c r="AF53" s="16">
        <f t="shared" si="16"/>
        <v>386.39999999999992</v>
      </c>
      <c r="AG53" s="16">
        <f t="shared" si="16"/>
        <v>386.39999999999992</v>
      </c>
      <c r="AH53" s="17">
        <f t="shared" si="17"/>
        <v>1537.1999999999996</v>
      </c>
      <c r="AI53" s="16">
        <f t="shared" si="18"/>
        <v>382.19999999999993</v>
      </c>
    </row>
    <row r="54" spans="2:35" x14ac:dyDescent="0.3">
      <c r="B54" s="58" t="s">
        <v>62</v>
      </c>
      <c r="C54" s="11" t="s">
        <v>80</v>
      </c>
      <c r="D54" s="16">
        <f t="shared" si="12"/>
        <v>26.783999999999995</v>
      </c>
      <c r="E54" s="16">
        <f t="shared" si="12"/>
        <v>24.191999999999997</v>
      </c>
      <c r="F54" s="16">
        <f t="shared" si="12"/>
        <v>26.783999999999995</v>
      </c>
      <c r="G54" s="16">
        <f t="shared" si="12"/>
        <v>25.919999999999995</v>
      </c>
      <c r="H54" s="16">
        <f t="shared" si="12"/>
        <v>26.783999999999995</v>
      </c>
      <c r="I54" s="16">
        <f t="shared" si="12"/>
        <v>25.919999999999995</v>
      </c>
      <c r="J54" s="16">
        <f t="shared" si="12"/>
        <v>26.783999999999995</v>
      </c>
      <c r="K54" s="16">
        <f t="shared" si="12"/>
        <v>26.783999999999995</v>
      </c>
      <c r="L54" s="16">
        <f t="shared" si="12"/>
        <v>25.919999999999995</v>
      </c>
      <c r="M54" s="16">
        <f t="shared" si="12"/>
        <v>26.783999999999995</v>
      </c>
      <c r="N54" s="16">
        <f t="shared" si="12"/>
        <v>25.919999999999995</v>
      </c>
      <c r="O54" s="16">
        <f t="shared" si="12"/>
        <v>26.783999999999995</v>
      </c>
      <c r="P54" s="17">
        <f t="shared" si="13"/>
        <v>315.35999999999996</v>
      </c>
      <c r="Q54" s="16">
        <f t="shared" si="14"/>
        <v>26.783999999999995</v>
      </c>
      <c r="R54" s="16">
        <f t="shared" si="14"/>
        <v>24.191999999999997</v>
      </c>
      <c r="S54" s="16">
        <f t="shared" si="14"/>
        <v>26.783999999999995</v>
      </c>
      <c r="T54" s="16">
        <f t="shared" si="14"/>
        <v>25.919999999999995</v>
      </c>
      <c r="U54" s="16">
        <f t="shared" si="14"/>
        <v>26.783999999999995</v>
      </c>
      <c r="V54" s="16">
        <f t="shared" si="14"/>
        <v>25.919999999999995</v>
      </c>
      <c r="W54" s="16">
        <f t="shared" si="14"/>
        <v>26.783999999999995</v>
      </c>
      <c r="X54" s="16">
        <f t="shared" si="14"/>
        <v>26.783999999999995</v>
      </c>
      <c r="Y54" s="16">
        <f t="shared" si="14"/>
        <v>25.919999999999995</v>
      </c>
      <c r="Z54" s="16">
        <f t="shared" si="14"/>
        <v>26.783999999999995</v>
      </c>
      <c r="AA54" s="16">
        <f t="shared" si="14"/>
        <v>25.919999999999995</v>
      </c>
      <c r="AB54" s="16">
        <f t="shared" si="14"/>
        <v>26.783999999999995</v>
      </c>
      <c r="AC54" s="17">
        <f t="shared" si="15"/>
        <v>315.35999999999996</v>
      </c>
      <c r="AD54" s="16">
        <f t="shared" si="16"/>
        <v>0</v>
      </c>
      <c r="AE54" s="16">
        <f t="shared" si="16"/>
        <v>0</v>
      </c>
      <c r="AF54" s="16">
        <f t="shared" si="16"/>
        <v>0</v>
      </c>
      <c r="AG54" s="16">
        <f t="shared" si="16"/>
        <v>0</v>
      </c>
      <c r="AH54" s="17">
        <f t="shared" si="17"/>
        <v>0</v>
      </c>
      <c r="AI54" s="16">
        <f t="shared" si="18"/>
        <v>0</v>
      </c>
    </row>
    <row r="55" spans="2:35" x14ac:dyDescent="0.3">
      <c r="B55" s="58" t="s">
        <v>62</v>
      </c>
      <c r="C55" s="11" t="s">
        <v>81</v>
      </c>
      <c r="D55" s="16">
        <f t="shared" si="12"/>
        <v>916.99200000000008</v>
      </c>
      <c r="E55" s="16">
        <f t="shared" si="12"/>
        <v>821.97186206896572</v>
      </c>
      <c r="F55" s="16">
        <f t="shared" si="12"/>
        <v>855.62999999999988</v>
      </c>
      <c r="G55" s="16">
        <f t="shared" si="12"/>
        <v>855.36</v>
      </c>
      <c r="H55" s="16">
        <f t="shared" si="12"/>
        <v>838.25279999999987</v>
      </c>
      <c r="I55" s="16">
        <f t="shared" si="12"/>
        <v>849.60000000000014</v>
      </c>
      <c r="J55" s="16">
        <f t="shared" si="12"/>
        <v>879.55200000000013</v>
      </c>
      <c r="K55" s="16">
        <f t="shared" si="12"/>
        <v>870.91200000000003</v>
      </c>
      <c r="L55" s="16">
        <f t="shared" si="12"/>
        <v>766.01700000000017</v>
      </c>
      <c r="M55" s="16">
        <f t="shared" si="12"/>
        <v>820.52640000000008</v>
      </c>
      <c r="N55" s="16">
        <f t="shared" si="12"/>
        <v>827.44200000000001</v>
      </c>
      <c r="O55" s="16">
        <f t="shared" si="12"/>
        <v>874.28880000000004</v>
      </c>
      <c r="P55" s="17">
        <f t="shared" si="13"/>
        <v>10176.544862068966</v>
      </c>
      <c r="Q55" s="16">
        <f t="shared" si="14"/>
        <v>859.31999999999994</v>
      </c>
      <c r="R55" s="16">
        <f t="shared" si="14"/>
        <v>776.16</v>
      </c>
      <c r="S55" s="16">
        <f t="shared" si="14"/>
        <v>859.31999999999994</v>
      </c>
      <c r="T55" s="16">
        <f t="shared" si="14"/>
        <v>831.59999999999991</v>
      </c>
      <c r="U55" s="16">
        <f t="shared" si="14"/>
        <v>859.31999999999994</v>
      </c>
      <c r="V55" s="16">
        <f t="shared" si="14"/>
        <v>831.59999999999991</v>
      </c>
      <c r="W55" s="16">
        <f t="shared" si="14"/>
        <v>859.31999999999994</v>
      </c>
      <c r="X55" s="16">
        <f t="shared" si="14"/>
        <v>859.31999999999994</v>
      </c>
      <c r="Y55" s="16">
        <f t="shared" si="14"/>
        <v>831.59999999999991</v>
      </c>
      <c r="Z55" s="16">
        <f t="shared" si="14"/>
        <v>859.31999999999994</v>
      </c>
      <c r="AA55" s="16">
        <f t="shared" si="14"/>
        <v>831.59999999999991</v>
      </c>
      <c r="AB55" s="16">
        <f t="shared" si="14"/>
        <v>859.31999999999994</v>
      </c>
      <c r="AC55" s="17">
        <f t="shared" si="15"/>
        <v>10117.799999999999</v>
      </c>
      <c r="AD55" s="16">
        <f t="shared" si="16"/>
        <v>2439.1671652173914</v>
      </c>
      <c r="AE55" s="16">
        <f t="shared" si="16"/>
        <v>1219.5835826086957</v>
      </c>
      <c r="AF55" s="16">
        <f t="shared" si="16"/>
        <v>1232.9856</v>
      </c>
      <c r="AG55" s="16">
        <f t="shared" si="16"/>
        <v>1360.1280000000002</v>
      </c>
      <c r="AH55" s="17">
        <f t="shared" si="17"/>
        <v>6251.8643478260874</v>
      </c>
      <c r="AI55" s="16">
        <f t="shared" si="18"/>
        <v>1219.5835826086957</v>
      </c>
    </row>
    <row r="56" spans="2:35" x14ac:dyDescent="0.3">
      <c r="B56" s="58" t="s">
        <v>62</v>
      </c>
      <c r="C56" s="11" t="s">
        <v>83</v>
      </c>
      <c r="D56" s="11">
        <f t="shared" ref="D56:AI56" si="19">SUM(D45:D55)</f>
        <v>4810.9535999999998</v>
      </c>
      <c r="E56" s="11">
        <f t="shared" si="19"/>
        <v>4279.1685517241376</v>
      </c>
      <c r="F56" s="11">
        <f t="shared" si="19"/>
        <v>4822.3469999999998</v>
      </c>
      <c r="G56" s="11">
        <f t="shared" si="19"/>
        <v>4563.7379999999994</v>
      </c>
      <c r="H56" s="11">
        <f t="shared" si="19"/>
        <v>4637.2608</v>
      </c>
      <c r="I56" s="11">
        <f t="shared" si="19"/>
        <v>4471.2540000000008</v>
      </c>
      <c r="J56" s="11">
        <f t="shared" si="19"/>
        <v>4385.3099999999995</v>
      </c>
      <c r="K56" s="11">
        <f t="shared" si="19"/>
        <v>4618.9583999999995</v>
      </c>
      <c r="L56" s="11">
        <f t="shared" si="19"/>
        <v>4494.1860000000006</v>
      </c>
      <c r="M56" s="11">
        <f t="shared" si="19"/>
        <v>4558.8215999999993</v>
      </c>
      <c r="N56" s="11">
        <f t="shared" si="19"/>
        <v>4539.5460000000003</v>
      </c>
      <c r="O56" s="11">
        <f t="shared" si="19"/>
        <v>4776.7847999999994</v>
      </c>
      <c r="P56" s="11">
        <f t="shared" si="19"/>
        <v>54958.328751724133</v>
      </c>
      <c r="Q56" s="11">
        <f t="shared" si="19"/>
        <v>4664.2600027163999</v>
      </c>
      <c r="R56" s="11">
        <f t="shared" si="19"/>
        <v>4212.8800024535221</v>
      </c>
      <c r="S56" s="11">
        <f t="shared" si="19"/>
        <v>4664.2600027163999</v>
      </c>
      <c r="T56" s="11">
        <f t="shared" si="19"/>
        <v>4513.8340671449041</v>
      </c>
      <c r="U56" s="11">
        <f t="shared" si="19"/>
        <v>4664.2952027164001</v>
      </c>
      <c r="V56" s="11">
        <f t="shared" si="19"/>
        <v>4513.8340671449041</v>
      </c>
      <c r="W56" s="11">
        <f t="shared" si="19"/>
        <v>4650.8876809772692</v>
      </c>
      <c r="X56" s="11">
        <f t="shared" si="19"/>
        <v>4650.8876809772692</v>
      </c>
      <c r="Y56" s="11">
        <f t="shared" si="19"/>
        <v>4500.8590461070362</v>
      </c>
      <c r="Z56" s="11">
        <f t="shared" si="19"/>
        <v>4648.2545679337918</v>
      </c>
      <c r="AA56" s="11">
        <f t="shared" si="19"/>
        <v>4498.3108721939916</v>
      </c>
      <c r="AB56" s="11">
        <f t="shared" si="19"/>
        <v>4648.2545679337918</v>
      </c>
      <c r="AC56" s="11">
        <f t="shared" si="19"/>
        <v>54830.817761015685</v>
      </c>
      <c r="AD56" s="11">
        <f t="shared" si="19"/>
        <v>13170.023269565218</v>
      </c>
      <c r="AE56" s="11">
        <f t="shared" si="19"/>
        <v>9083.721286956521</v>
      </c>
      <c r="AF56" s="11">
        <f t="shared" si="19"/>
        <v>9183.5423999999985</v>
      </c>
      <c r="AG56" s="11">
        <f t="shared" si="19"/>
        <v>8994.5087999999996</v>
      </c>
      <c r="AH56" s="11">
        <f t="shared" si="19"/>
        <v>40431.795756521737</v>
      </c>
      <c r="AI56" s="11">
        <f t="shared" si="19"/>
        <v>9083.721286956521</v>
      </c>
    </row>
    <row r="57" spans="2:35" ht="49.2" customHeight="1" x14ac:dyDescent="0.3"/>
    <row r="60" spans="2:35" x14ac:dyDescent="0.3">
      <c r="E60" s="20"/>
    </row>
    <row r="61" spans="2:35" x14ac:dyDescent="0.3">
      <c r="E61" s="20"/>
    </row>
    <row r="67" spans="4:16" ht="14.4" hidden="1" customHeight="1" x14ac:dyDescent="0.3">
      <c r="E67">
        <v>2025</v>
      </c>
      <c r="I67">
        <v>2026</v>
      </c>
      <c r="L67">
        <v>2027</v>
      </c>
      <c r="P67">
        <v>2028</v>
      </c>
    </row>
    <row r="68" spans="4:16" ht="14.4" hidden="1" customHeight="1" x14ac:dyDescent="0.3"/>
    <row r="69" spans="4:16" ht="14.4" hidden="1" customHeight="1" x14ac:dyDescent="0.3">
      <c r="D69" t="s">
        <v>84</v>
      </c>
      <c r="E69" t="s">
        <v>85</v>
      </c>
      <c r="I69" t="s">
        <v>86</v>
      </c>
      <c r="L69" t="s">
        <v>87</v>
      </c>
      <c r="P69" t="s">
        <v>87</v>
      </c>
    </row>
    <row r="70" spans="4:16" ht="14.4" hidden="1" customHeight="1" x14ac:dyDescent="0.3">
      <c r="D70" t="s">
        <v>84</v>
      </c>
      <c r="E70" t="s">
        <v>88</v>
      </c>
      <c r="I70" t="s">
        <v>89</v>
      </c>
      <c r="L70" t="s">
        <v>90</v>
      </c>
      <c r="P70" t="s">
        <v>90</v>
      </c>
    </row>
    <row r="71" spans="4:16" ht="14.4" hidden="1" customHeight="1" x14ac:dyDescent="0.3"/>
    <row r="72" spans="4:16" ht="14.4" hidden="1" customHeight="1" x14ac:dyDescent="0.3"/>
    <row r="73" spans="4:16" ht="14.4" hidden="1" customHeight="1" x14ac:dyDescent="0.3">
      <c r="D73" t="s">
        <v>91</v>
      </c>
      <c r="E73" t="s">
        <v>92</v>
      </c>
      <c r="I73" t="s">
        <v>86</v>
      </c>
    </row>
    <row r="74" spans="4:16" ht="14.4" hidden="1" customHeight="1" x14ac:dyDescent="0.3">
      <c r="D74" t="s">
        <v>93</v>
      </c>
      <c r="E74" t="s">
        <v>94</v>
      </c>
      <c r="I74" t="s">
        <v>95</v>
      </c>
      <c r="L74" t="s">
        <v>96</v>
      </c>
      <c r="P74" t="s">
        <v>96</v>
      </c>
    </row>
    <row r="75" spans="4:16" ht="14.4" hidden="1" customHeight="1" x14ac:dyDescent="0.3">
      <c r="D75" t="s">
        <v>97</v>
      </c>
      <c r="E75" t="s">
        <v>86</v>
      </c>
      <c r="I75" t="s">
        <v>96</v>
      </c>
      <c r="L75" t="s">
        <v>86</v>
      </c>
      <c r="P75" t="s">
        <v>86</v>
      </c>
    </row>
    <row r="76" spans="4:16" ht="14.4" hidden="1" customHeight="1" x14ac:dyDescent="0.3"/>
    <row r="77" spans="4:16" ht="14.4" hidden="1" customHeight="1" x14ac:dyDescent="0.3">
      <c r="D77" t="s">
        <v>98</v>
      </c>
      <c r="E77" t="s">
        <v>99</v>
      </c>
      <c r="I77" t="s">
        <v>100</v>
      </c>
      <c r="L77" t="s">
        <v>101</v>
      </c>
      <c r="P77" t="s">
        <v>101</v>
      </c>
    </row>
    <row r="78" spans="4:16" ht="14.4" hidden="1" customHeight="1" x14ac:dyDescent="0.3">
      <c r="D78" t="s">
        <v>102</v>
      </c>
      <c r="E78" t="s">
        <v>103</v>
      </c>
      <c r="I78" t="s">
        <v>96</v>
      </c>
      <c r="L78" t="s">
        <v>90</v>
      </c>
      <c r="P78" t="s">
        <v>90</v>
      </c>
    </row>
    <row r="79" spans="4:16" ht="14.4" hidden="1" customHeight="1" x14ac:dyDescent="0.3"/>
    <row r="80" spans="4:16" ht="14.4" hidden="1" customHeight="1" x14ac:dyDescent="0.3"/>
    <row r="81" spans="4:16" ht="14.4" hidden="1" customHeight="1" x14ac:dyDescent="0.3">
      <c r="D81" t="s">
        <v>104</v>
      </c>
      <c r="E81" t="s">
        <v>92</v>
      </c>
      <c r="I81" t="s">
        <v>86</v>
      </c>
      <c r="L81" t="s">
        <v>86</v>
      </c>
      <c r="P81" t="s">
        <v>86</v>
      </c>
    </row>
    <row r="82" spans="4:16" ht="14.4" hidden="1" customHeight="1" x14ac:dyDescent="0.3">
      <c r="D82" t="s">
        <v>104</v>
      </c>
      <c r="E82" t="s">
        <v>96</v>
      </c>
      <c r="I82" t="s">
        <v>96</v>
      </c>
      <c r="L82" t="s">
        <v>96</v>
      </c>
      <c r="P82" t="s">
        <v>96</v>
      </c>
    </row>
    <row r="83" spans="4:16" ht="14.4" hidden="1" customHeight="1" x14ac:dyDescent="0.3">
      <c r="D83" t="s">
        <v>105</v>
      </c>
      <c r="E83" t="s">
        <v>106</v>
      </c>
      <c r="I83" t="s">
        <v>106</v>
      </c>
      <c r="L83" t="s">
        <v>106</v>
      </c>
    </row>
    <row r="84" spans="4:16" ht="14.4" hidden="1" customHeight="1" x14ac:dyDescent="0.3"/>
    <row r="85" spans="4:16" ht="14.4" hidden="1" customHeight="1" x14ac:dyDescent="0.3">
      <c r="D85" t="s">
        <v>107</v>
      </c>
      <c r="E85" t="s">
        <v>108</v>
      </c>
      <c r="I85" t="s">
        <v>109</v>
      </c>
      <c r="L85" t="s">
        <v>101</v>
      </c>
      <c r="P85" t="s">
        <v>101</v>
      </c>
    </row>
    <row r="86" spans="4:16" ht="14.4" hidden="1" customHeight="1" x14ac:dyDescent="0.3">
      <c r="D86" t="s">
        <v>110</v>
      </c>
      <c r="E86" t="s">
        <v>111</v>
      </c>
      <c r="I86" t="s">
        <v>101</v>
      </c>
    </row>
    <row r="87" spans="4:16" ht="14.4" hidden="1" customHeight="1" x14ac:dyDescent="0.3"/>
  </sheetData>
  <phoneticPr fontId="14" type="noConversion"/>
  <pageMargins left="0.7" right="0.7" top="0.75" bottom="0.75" header="0.3" footer="0.3"/>
  <pageSetup scale="44" orientation="landscape" r:id="rId1"/>
  <headerFooter>
    <oddHeader>&amp;R&amp;"Arial"&amp;8&amp;K000000 [OFFICIAL]&amp;1#_x000D_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64BD-67E7-44E6-8295-1816547E8842}">
  <sheetPr>
    <tabColor theme="5"/>
    <outlinePr summaryBelow="0"/>
  </sheetPr>
  <dimension ref="A1:AK38"/>
  <sheetViews>
    <sheetView showGridLines="0" topLeftCell="A4" workbookViewId="0">
      <selection activeCell="E40" sqref="E40"/>
    </sheetView>
  </sheetViews>
  <sheetFormatPr defaultRowHeight="14.4" x14ac:dyDescent="0.3"/>
  <cols>
    <col min="1" max="2" width="13.44140625" style="13" customWidth="1"/>
    <col min="3" max="4" width="18.5546875" style="13" customWidth="1"/>
    <col min="5" max="16" width="16" style="13" customWidth="1"/>
    <col min="17" max="17" width="13.44140625" style="13" customWidth="1"/>
    <col min="18" max="29" width="16" style="13" customWidth="1"/>
    <col min="30" max="30" width="13.33203125" style="13" customWidth="1"/>
    <col min="31" max="34" width="16" style="13" customWidth="1"/>
    <col min="35" max="35" width="13.44140625" style="13" customWidth="1"/>
    <col min="36" max="36" width="16" style="13" customWidth="1"/>
    <col min="37" max="37" width="13.33203125" style="13" customWidth="1"/>
    <col min="38" max="16384" width="8.88671875" style="13"/>
  </cols>
  <sheetData>
    <row r="1" spans="1:37" ht="13.5" customHeight="1" x14ac:dyDescent="0.3"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  <c r="K1" s="51" t="s">
        <v>0</v>
      </c>
      <c r="L1" s="51" t="s">
        <v>0</v>
      </c>
      <c r="M1" s="51" t="s">
        <v>0</v>
      </c>
      <c r="N1" s="51" t="s">
        <v>0</v>
      </c>
      <c r="O1" s="51" t="s">
        <v>0</v>
      </c>
      <c r="P1" s="51" t="s">
        <v>0</v>
      </c>
      <c r="Q1" s="51" t="s">
        <v>1</v>
      </c>
      <c r="R1" s="51" t="s">
        <v>2</v>
      </c>
      <c r="S1" s="51" t="s">
        <v>2</v>
      </c>
      <c r="T1" s="51" t="s">
        <v>2</v>
      </c>
      <c r="U1" s="51" t="s">
        <v>2</v>
      </c>
      <c r="V1" s="51" t="s">
        <v>2</v>
      </c>
      <c r="W1" s="51" t="s">
        <v>2</v>
      </c>
      <c r="X1" s="51" t="s">
        <v>2</v>
      </c>
      <c r="Y1" s="51" t="s">
        <v>2</v>
      </c>
      <c r="Z1" s="51" t="s">
        <v>2</v>
      </c>
      <c r="AA1" s="51" t="s">
        <v>2</v>
      </c>
      <c r="AB1" s="51" t="s">
        <v>2</v>
      </c>
      <c r="AC1" s="51" t="s">
        <v>2</v>
      </c>
      <c r="AD1" s="51" t="s">
        <v>3</v>
      </c>
      <c r="AE1" s="51" t="s">
        <v>4</v>
      </c>
      <c r="AF1" s="51" t="s">
        <v>4</v>
      </c>
      <c r="AG1" s="51" t="s">
        <v>4</v>
      </c>
      <c r="AH1" s="51" t="s">
        <v>4</v>
      </c>
      <c r="AI1" s="51" t="s">
        <v>5</v>
      </c>
      <c r="AJ1" s="31" t="s">
        <v>6</v>
      </c>
      <c r="AK1" s="56" t="s">
        <v>24</v>
      </c>
    </row>
    <row r="2" spans="1:37" ht="12.75" customHeight="1" x14ac:dyDescent="0.3">
      <c r="A2" s="31" t="s">
        <v>180</v>
      </c>
      <c r="B2" s="31" t="s">
        <v>206</v>
      </c>
      <c r="C2" s="31" t="s">
        <v>195</v>
      </c>
      <c r="D2" s="31" t="s">
        <v>7</v>
      </c>
      <c r="E2" s="31" t="s">
        <v>39</v>
      </c>
      <c r="F2" s="31" t="s">
        <v>40</v>
      </c>
      <c r="G2" s="31" t="s">
        <v>41</v>
      </c>
      <c r="H2" s="31" t="s">
        <v>42</v>
      </c>
      <c r="I2" s="31" t="s">
        <v>43</v>
      </c>
      <c r="J2" s="31" t="s">
        <v>44</v>
      </c>
      <c r="K2" s="31" t="s">
        <v>45</v>
      </c>
      <c r="L2" s="31" t="s">
        <v>46</v>
      </c>
      <c r="M2" s="31" t="s">
        <v>47</v>
      </c>
      <c r="N2" s="31" t="s">
        <v>48</v>
      </c>
      <c r="O2" s="31" t="s">
        <v>49</v>
      </c>
      <c r="P2" s="31" t="s">
        <v>50</v>
      </c>
      <c r="Q2" s="51" t="s">
        <v>1</v>
      </c>
      <c r="R2" s="31" t="s">
        <v>39</v>
      </c>
      <c r="S2" s="31" t="s">
        <v>40</v>
      </c>
      <c r="T2" s="31" t="s">
        <v>41</v>
      </c>
      <c r="U2" s="31" t="s">
        <v>42</v>
      </c>
      <c r="V2" s="31" t="s">
        <v>43</v>
      </c>
      <c r="W2" s="31" t="s">
        <v>44</v>
      </c>
      <c r="X2" s="31" t="s">
        <v>45</v>
      </c>
      <c r="Y2" s="31" t="s">
        <v>46</v>
      </c>
      <c r="Z2" s="31" t="s">
        <v>47</v>
      </c>
      <c r="AA2" s="31" t="s">
        <v>48</v>
      </c>
      <c r="AB2" s="31" t="s">
        <v>49</v>
      </c>
      <c r="AC2" s="31" t="s">
        <v>50</v>
      </c>
      <c r="AD2" s="51" t="s">
        <v>3</v>
      </c>
      <c r="AE2" s="31" t="s">
        <v>185</v>
      </c>
      <c r="AF2" s="31" t="s">
        <v>187</v>
      </c>
      <c r="AG2" s="31" t="s">
        <v>188</v>
      </c>
      <c r="AH2" s="31" t="s">
        <v>189</v>
      </c>
      <c r="AI2" s="51" t="s">
        <v>5</v>
      </c>
      <c r="AJ2" s="31" t="s">
        <v>186</v>
      </c>
      <c r="AK2" s="56" t="s">
        <v>24</v>
      </c>
    </row>
    <row r="3" spans="1:37" ht="13.5" customHeight="1" x14ac:dyDescent="0.3">
      <c r="A3" s="49" t="s">
        <v>193</v>
      </c>
      <c r="B3" s="49" t="s">
        <v>17</v>
      </c>
      <c r="C3" s="49" t="s">
        <v>181</v>
      </c>
      <c r="D3" s="32" t="s">
        <v>200</v>
      </c>
      <c r="E3" s="1">
        <v>116.717775786115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3">
        <v>116.717775786115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3"/>
      <c r="AE3" s="1"/>
      <c r="AF3" s="1"/>
      <c r="AG3" s="1"/>
      <c r="AH3" s="1"/>
      <c r="AI3" s="33"/>
      <c r="AJ3" s="1"/>
      <c r="AK3" s="33">
        <v>116.717775786115</v>
      </c>
    </row>
    <row r="4" spans="1:37" ht="13.5" customHeight="1" x14ac:dyDescent="0.3">
      <c r="A4" s="49" t="s">
        <v>193</v>
      </c>
      <c r="B4" s="49" t="s">
        <v>17</v>
      </c>
      <c r="C4" s="49" t="s">
        <v>181</v>
      </c>
      <c r="D4" s="34" t="s">
        <v>179</v>
      </c>
      <c r="E4" s="47">
        <v>0.52396910407877495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35">
        <v>0.52396910407877495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35"/>
      <c r="AE4" s="47"/>
      <c r="AF4" s="47"/>
      <c r="AG4" s="47"/>
      <c r="AH4" s="47"/>
      <c r="AI4" s="35"/>
      <c r="AJ4" s="47"/>
      <c r="AK4" s="35">
        <v>0.52396910407877495</v>
      </c>
    </row>
    <row r="5" spans="1:37" ht="13.5" customHeight="1" x14ac:dyDescent="0.3">
      <c r="A5" s="49" t="s">
        <v>193</v>
      </c>
      <c r="B5" s="49" t="s">
        <v>18</v>
      </c>
      <c r="C5" s="49" t="s">
        <v>181</v>
      </c>
      <c r="D5" s="32" t="s">
        <v>200</v>
      </c>
      <c r="E5" s="1">
        <v>17.8877153553006</v>
      </c>
      <c r="F5" s="1">
        <v>56.644735513971099</v>
      </c>
      <c r="G5" s="1">
        <v>29.602850926078101</v>
      </c>
      <c r="H5" s="1">
        <v>82.872898316412304</v>
      </c>
      <c r="I5" s="1">
        <v>38.331113813104999</v>
      </c>
      <c r="J5" s="1">
        <v>66.409275662984101</v>
      </c>
      <c r="K5" s="1">
        <v>37.615868574139803</v>
      </c>
      <c r="L5" s="1">
        <v>44.854884421258298</v>
      </c>
      <c r="M5" s="1">
        <v>49.577393604102497</v>
      </c>
      <c r="N5" s="1">
        <v>63.895984726613598</v>
      </c>
      <c r="O5" s="1">
        <v>234.50172040039101</v>
      </c>
      <c r="P5" s="1">
        <v>54.995432119100101</v>
      </c>
      <c r="Q5" s="33">
        <v>777.189873433456</v>
      </c>
      <c r="R5" s="1">
        <v>138.87424555621399</v>
      </c>
      <c r="S5" s="1">
        <v>99.1880232159331</v>
      </c>
      <c r="T5" s="1">
        <v>135.91831502642799</v>
      </c>
      <c r="U5" s="1">
        <v>195.36308000702999</v>
      </c>
      <c r="V5" s="1">
        <v>94.139810473984298</v>
      </c>
      <c r="W5" s="1">
        <v>103.73282737744</v>
      </c>
      <c r="X5" s="1">
        <v>103.13942722349201</v>
      </c>
      <c r="Y5" s="1">
        <v>124.975449972894</v>
      </c>
      <c r="Z5" s="1">
        <v>127.06677036874601</v>
      </c>
      <c r="AA5" s="1">
        <v>191.85619056856899</v>
      </c>
      <c r="AB5" s="1">
        <v>18.890804542727999</v>
      </c>
      <c r="AC5" s="1">
        <v>144.14325702821299</v>
      </c>
      <c r="AD5" s="33">
        <v>1477.28820136167</v>
      </c>
      <c r="AE5" s="1">
        <v>375.36933280133502</v>
      </c>
      <c r="AF5" s="1">
        <v>503.00351789846201</v>
      </c>
      <c r="AG5" s="1">
        <v>424.47554168020298</v>
      </c>
      <c r="AH5" s="1">
        <v>63.888479286164703</v>
      </c>
      <c r="AI5" s="33">
        <v>1366.7368716661699</v>
      </c>
      <c r="AJ5" s="1"/>
      <c r="AK5" s="33">
        <v>3621.2149464612899</v>
      </c>
    </row>
    <row r="6" spans="1:37" ht="13.5" customHeight="1" x14ac:dyDescent="0.3">
      <c r="A6" s="49" t="s">
        <v>193</v>
      </c>
      <c r="B6" s="50" t="s">
        <v>18</v>
      </c>
      <c r="C6" s="49" t="s">
        <v>181</v>
      </c>
      <c r="D6" s="34" t="s">
        <v>179</v>
      </c>
      <c r="E6" s="47">
        <v>0.30740271550274301</v>
      </c>
      <c r="F6" s="47">
        <v>0.39162262449882601</v>
      </c>
      <c r="G6" s="47">
        <v>0.38189410925386003</v>
      </c>
      <c r="H6" s="47">
        <v>0.61098344792095705</v>
      </c>
      <c r="I6" s="47">
        <v>0.572350806386827</v>
      </c>
      <c r="J6" s="47">
        <v>0.41429954598180202</v>
      </c>
      <c r="K6" s="47">
        <v>0.39802736641765801</v>
      </c>
      <c r="L6" s="47">
        <v>0.89557774794338996</v>
      </c>
      <c r="M6" s="47">
        <v>0.83762134823557399</v>
      </c>
      <c r="N6" s="47">
        <v>0.96096351068826003</v>
      </c>
      <c r="O6" s="47">
        <v>0.73497797327275605</v>
      </c>
      <c r="P6" s="47">
        <v>0.45774132078649898</v>
      </c>
      <c r="Q6" s="35">
        <v>0.63648879745076803</v>
      </c>
      <c r="R6" s="47">
        <v>0.54554855931157797</v>
      </c>
      <c r="S6" s="47">
        <v>0.71206035240400201</v>
      </c>
      <c r="T6" s="47">
        <v>1.003320586134</v>
      </c>
      <c r="U6" s="47">
        <v>0.77858554823714399</v>
      </c>
      <c r="V6" s="47">
        <v>0.75256416399905002</v>
      </c>
      <c r="W6" s="47">
        <v>1.2265824606279201</v>
      </c>
      <c r="X6" s="47">
        <v>0.63539955283268001</v>
      </c>
      <c r="Y6" s="47">
        <v>0.93880252231587602</v>
      </c>
      <c r="Z6" s="47">
        <v>0.78524961239326996</v>
      </c>
      <c r="AA6" s="47">
        <v>0.83325751239628798</v>
      </c>
      <c r="AB6" s="47">
        <v>1.03508896578414</v>
      </c>
      <c r="AC6" s="47">
        <v>0.75940597159143297</v>
      </c>
      <c r="AD6" s="35">
        <v>0.81532757269385203</v>
      </c>
      <c r="AE6" s="47">
        <v>0.66871717722403601</v>
      </c>
      <c r="AF6" s="47">
        <v>0.72766356877879201</v>
      </c>
      <c r="AG6" s="47">
        <v>0.61524649115839802</v>
      </c>
      <c r="AH6" s="47">
        <v>0.51751852447450697</v>
      </c>
      <c r="AI6" s="35">
        <v>0.666736833997291</v>
      </c>
      <c r="AJ6" s="47"/>
      <c r="AK6" s="35">
        <v>0.72086310938019404</v>
      </c>
    </row>
    <row r="7" spans="1:37" ht="12.75" customHeight="1" x14ac:dyDescent="0.3">
      <c r="A7" s="49" t="s">
        <v>193</v>
      </c>
      <c r="B7" s="49" t="s">
        <v>20</v>
      </c>
      <c r="C7" s="49" t="s">
        <v>181</v>
      </c>
      <c r="D7" s="32" t="s">
        <v>200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3"/>
      <c r="R7" s="1"/>
      <c r="S7" s="1"/>
      <c r="T7" s="1"/>
      <c r="U7" s="1"/>
      <c r="V7" s="1"/>
      <c r="W7" s="1"/>
      <c r="X7" s="1">
        <v>2.0678879823007801</v>
      </c>
      <c r="Y7" s="1"/>
      <c r="Z7" s="1">
        <v>1.1006045659014501</v>
      </c>
      <c r="AA7" s="1">
        <v>8.6076394123805494E-2</v>
      </c>
      <c r="AB7" s="1"/>
      <c r="AC7" s="1">
        <v>7.1106266282952602</v>
      </c>
      <c r="AD7" s="33">
        <v>10.365195570621299</v>
      </c>
      <c r="AE7" s="1">
        <v>10.1496916078178</v>
      </c>
      <c r="AF7" s="1">
        <v>389.22649716115899</v>
      </c>
      <c r="AG7" s="1">
        <v>182.42614200158701</v>
      </c>
      <c r="AH7" s="1">
        <v>239.14124334196299</v>
      </c>
      <c r="AI7" s="33">
        <v>820.94357411252599</v>
      </c>
      <c r="AJ7" s="1">
        <v>543.51960506046305</v>
      </c>
      <c r="AK7" s="33">
        <v>1374.8283747436101</v>
      </c>
    </row>
    <row r="8" spans="1:37" ht="13.5" customHeight="1" x14ac:dyDescent="0.3">
      <c r="A8" s="49" t="s">
        <v>193</v>
      </c>
      <c r="B8" s="50" t="s">
        <v>20</v>
      </c>
      <c r="C8" s="49" t="s">
        <v>181</v>
      </c>
      <c r="D8" s="34" t="s">
        <v>179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35"/>
      <c r="R8" s="47"/>
      <c r="S8" s="47"/>
      <c r="T8" s="47"/>
      <c r="U8" s="47"/>
      <c r="V8" s="47"/>
      <c r="W8" s="47"/>
      <c r="X8" s="47">
        <v>0.33000189103681998</v>
      </c>
      <c r="Y8" s="47"/>
      <c r="Z8" s="47">
        <v>0.67948954635595205</v>
      </c>
      <c r="AA8" s="47">
        <v>0.62370999999999999</v>
      </c>
      <c r="AB8" s="47"/>
      <c r="AC8" s="47">
        <v>0.681142646125656</v>
      </c>
      <c r="AD8" s="35">
        <v>0.61043652709598795</v>
      </c>
      <c r="AE8" s="47">
        <v>0.60463484528261502</v>
      </c>
      <c r="AF8" s="47">
        <v>0.40282255710881898</v>
      </c>
      <c r="AG8" s="47">
        <v>0.46872642956489702</v>
      </c>
      <c r="AH8" s="47">
        <v>0.50647207943610195</v>
      </c>
      <c r="AI8" s="35">
        <v>0.450155648625995</v>
      </c>
      <c r="AJ8" s="47">
        <v>0.69867134519309004</v>
      </c>
      <c r="AK8" s="35">
        <v>0.54961133226835901</v>
      </c>
    </row>
    <row r="9" spans="1:37" ht="12.75" customHeight="1" x14ac:dyDescent="0.3">
      <c r="A9" s="49" t="s">
        <v>193</v>
      </c>
      <c r="B9" s="49" t="s">
        <v>22</v>
      </c>
      <c r="C9" s="49" t="s">
        <v>181</v>
      </c>
      <c r="D9" s="32" t="s">
        <v>200</v>
      </c>
      <c r="E9" s="1"/>
      <c r="F9" s="1"/>
      <c r="G9" s="1"/>
      <c r="H9" s="1">
        <v>5.6267984243597304</v>
      </c>
      <c r="I9" s="1">
        <v>0.61136534611524196</v>
      </c>
      <c r="J9" s="1">
        <v>4.93361589077315</v>
      </c>
      <c r="K9" s="1">
        <v>1.06864260997303</v>
      </c>
      <c r="L9" s="1">
        <v>1.5269256832521201</v>
      </c>
      <c r="M9" s="1">
        <v>1.98180503175081</v>
      </c>
      <c r="N9" s="1">
        <v>10.7851428104292</v>
      </c>
      <c r="O9" s="1">
        <v>16.435836507070501</v>
      </c>
      <c r="P9" s="1"/>
      <c r="Q9" s="33">
        <v>42.970132303723901</v>
      </c>
      <c r="R9" s="1">
        <v>36.232133937555901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3">
        <v>36.232133937555901</v>
      </c>
      <c r="AE9" s="1"/>
      <c r="AF9" s="1"/>
      <c r="AG9" s="1"/>
      <c r="AH9" s="1"/>
      <c r="AI9" s="33"/>
      <c r="AJ9" s="1"/>
      <c r="AK9" s="33">
        <v>79.202266241279801</v>
      </c>
    </row>
    <row r="10" spans="1:37" ht="12.75" customHeight="1" x14ac:dyDescent="0.3">
      <c r="A10" s="49" t="s">
        <v>193</v>
      </c>
      <c r="B10" s="50" t="s">
        <v>22</v>
      </c>
      <c r="C10" s="49" t="s">
        <v>181</v>
      </c>
      <c r="D10" s="34" t="s">
        <v>179</v>
      </c>
      <c r="E10" s="47"/>
      <c r="F10" s="47"/>
      <c r="G10" s="47"/>
      <c r="H10" s="47">
        <v>0.40762712356528003</v>
      </c>
      <c r="I10" s="47">
        <v>0.39503893362348402</v>
      </c>
      <c r="J10" s="47">
        <v>0.40074596470760798</v>
      </c>
      <c r="K10" s="47">
        <v>0.41225000000000001</v>
      </c>
      <c r="L10" s="47">
        <v>0.41885537781030902</v>
      </c>
      <c r="M10" s="47">
        <v>0.44722712292537098</v>
      </c>
      <c r="N10" s="47">
        <v>0.43254529653215201</v>
      </c>
      <c r="O10" s="47">
        <v>0.44684590397055002</v>
      </c>
      <c r="P10" s="47"/>
      <c r="Q10" s="35">
        <v>0.43025351257946998</v>
      </c>
      <c r="R10" s="47">
        <v>0.429257131431865</v>
      </c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35">
        <v>0.429257131431865</v>
      </c>
      <c r="AE10" s="47"/>
      <c r="AF10" s="47"/>
      <c r="AG10" s="47"/>
      <c r="AH10" s="47"/>
      <c r="AI10" s="35"/>
      <c r="AJ10" s="47"/>
      <c r="AK10" s="35">
        <v>0.429797704723128</v>
      </c>
    </row>
    <row r="11" spans="1:37" ht="13.5" customHeight="1" x14ac:dyDescent="0.3">
      <c r="A11" s="49" t="s">
        <v>193</v>
      </c>
      <c r="B11" s="49" t="s">
        <v>17</v>
      </c>
      <c r="C11" s="49" t="s">
        <v>196</v>
      </c>
      <c r="D11" s="32" t="s">
        <v>200</v>
      </c>
      <c r="E11" s="1">
        <v>178.632135157943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3">
        <v>178.632135157943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3"/>
      <c r="AE11" s="1"/>
      <c r="AF11" s="1"/>
      <c r="AG11" s="1"/>
      <c r="AH11" s="1"/>
      <c r="AI11" s="33"/>
      <c r="AJ11" s="1"/>
      <c r="AK11" s="33">
        <v>178.632135157943</v>
      </c>
    </row>
    <row r="12" spans="1:37" ht="12.75" customHeight="1" x14ac:dyDescent="0.3">
      <c r="A12" s="49" t="s">
        <v>193</v>
      </c>
      <c r="B12" s="50" t="s">
        <v>17</v>
      </c>
      <c r="C12" s="49" t="s">
        <v>196</v>
      </c>
      <c r="D12" s="34" t="s">
        <v>179</v>
      </c>
      <c r="E12" s="47">
        <v>9.3560955640513102E-2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35">
        <v>9.3560955640513102E-2</v>
      </c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35"/>
      <c r="AE12" s="47"/>
      <c r="AF12" s="47"/>
      <c r="AG12" s="47"/>
      <c r="AH12" s="47"/>
      <c r="AI12" s="35"/>
      <c r="AJ12" s="47"/>
      <c r="AK12" s="35">
        <v>9.3560955640513102E-2</v>
      </c>
    </row>
    <row r="13" spans="1:37" ht="13.5" customHeight="1" x14ac:dyDescent="0.3">
      <c r="A13" s="49" t="s">
        <v>193</v>
      </c>
      <c r="B13" s="49" t="s">
        <v>18</v>
      </c>
      <c r="C13" s="49" t="s">
        <v>196</v>
      </c>
      <c r="D13" s="32" t="s">
        <v>200</v>
      </c>
      <c r="E13" s="1">
        <v>879.87606016402401</v>
      </c>
      <c r="F13" s="1">
        <v>1041.5311311325299</v>
      </c>
      <c r="G13" s="1">
        <v>1206.7049091050201</v>
      </c>
      <c r="H13" s="1">
        <v>1185.3845773942401</v>
      </c>
      <c r="I13" s="1">
        <v>1087.0373653609599</v>
      </c>
      <c r="J13" s="1">
        <v>1058.4290580638799</v>
      </c>
      <c r="K13" s="1">
        <v>1206.13366486015</v>
      </c>
      <c r="L13" s="1">
        <v>1242.4563564822299</v>
      </c>
      <c r="M13" s="1">
        <v>1280.5114957150899</v>
      </c>
      <c r="N13" s="1">
        <v>1259.8325025115</v>
      </c>
      <c r="O13" s="1">
        <v>1067.0168629018201</v>
      </c>
      <c r="P13" s="1">
        <v>1229.6725718750299</v>
      </c>
      <c r="Q13" s="33">
        <v>13744.5865555665</v>
      </c>
      <c r="R13" s="1">
        <v>1566.4655811917501</v>
      </c>
      <c r="S13" s="1">
        <v>1396.14037596511</v>
      </c>
      <c r="T13" s="1">
        <v>1179.1300188738801</v>
      </c>
      <c r="U13" s="1">
        <v>1494.0657929981701</v>
      </c>
      <c r="V13" s="1">
        <v>1286.39306027721</v>
      </c>
      <c r="W13" s="1">
        <v>1019.52946230244</v>
      </c>
      <c r="X13" s="1">
        <v>1372.7481003269099</v>
      </c>
      <c r="Y13" s="1">
        <v>737.30338072635095</v>
      </c>
      <c r="Z13" s="1">
        <v>1118.7022700774401</v>
      </c>
      <c r="AA13" s="1">
        <v>1298.1904498988599</v>
      </c>
      <c r="AB13" s="1">
        <v>1057.6220905008499</v>
      </c>
      <c r="AC13" s="1">
        <v>1428.9015330797299</v>
      </c>
      <c r="AD13" s="33">
        <v>14955.192116218701</v>
      </c>
      <c r="AE13" s="1">
        <v>2801.5966715447198</v>
      </c>
      <c r="AF13" s="1">
        <v>1487.91019930169</v>
      </c>
      <c r="AG13" s="1">
        <v>1316.2659350797301</v>
      </c>
      <c r="AH13" s="1">
        <v>52.349823554778801</v>
      </c>
      <c r="AI13" s="33">
        <v>5658.1226294809203</v>
      </c>
      <c r="AJ13" s="1"/>
      <c r="AK13" s="33">
        <v>34357.901301266102</v>
      </c>
    </row>
    <row r="14" spans="1:37" ht="13.5" customHeight="1" x14ac:dyDescent="0.3">
      <c r="A14" s="49" t="s">
        <v>193</v>
      </c>
      <c r="B14" s="50" t="s">
        <v>18</v>
      </c>
      <c r="C14" s="49" t="s">
        <v>196</v>
      </c>
      <c r="D14" s="34" t="s">
        <v>179</v>
      </c>
      <c r="E14" s="47">
        <v>5.4733554832690302E-2</v>
      </c>
      <c r="F14" s="47">
        <v>5.6440837381482097E-2</v>
      </c>
      <c r="G14" s="47">
        <v>4.8057176896351098E-2</v>
      </c>
      <c r="H14" s="47">
        <v>3.14500372223473E-2</v>
      </c>
      <c r="I14" s="47">
        <v>3.8685495185629297E-2</v>
      </c>
      <c r="J14" s="47">
        <v>4.0213112869656398E-2</v>
      </c>
      <c r="K14" s="47">
        <v>3.9382734649386901E-2</v>
      </c>
      <c r="L14" s="47">
        <v>5.0452148987761798E-2</v>
      </c>
      <c r="M14" s="47">
        <v>4.2391672809279503E-2</v>
      </c>
      <c r="N14" s="47">
        <v>2.3431094872396401E-2</v>
      </c>
      <c r="O14" s="47">
        <v>5.1229283225786501E-2</v>
      </c>
      <c r="P14" s="47">
        <v>5.3181113162232001E-2</v>
      </c>
      <c r="Q14" s="35">
        <v>4.3717265518173003E-2</v>
      </c>
      <c r="R14" s="47">
        <v>2.4083403249931402E-2</v>
      </c>
      <c r="S14" s="47">
        <v>3.4850001730460899E-2</v>
      </c>
      <c r="T14" s="47">
        <v>4.59423718202953E-2</v>
      </c>
      <c r="U14" s="47">
        <v>1.8672457466137202E-2</v>
      </c>
      <c r="V14" s="47">
        <v>4.2904646338575499E-2</v>
      </c>
      <c r="W14" s="47">
        <v>2.90695106318157E-2</v>
      </c>
      <c r="X14" s="47">
        <v>2.4064455826995901E-2</v>
      </c>
      <c r="Y14" s="47">
        <v>6.14277909236145E-2</v>
      </c>
      <c r="Z14" s="47">
        <v>3.6211679736622301E-2</v>
      </c>
      <c r="AA14" s="47">
        <v>2.7406173019370501E-2</v>
      </c>
      <c r="AB14" s="47">
        <v>5.2148367298331499E-2</v>
      </c>
      <c r="AC14" s="47">
        <v>3.50447045437677E-2</v>
      </c>
      <c r="AD14" s="35">
        <v>3.4297336738040501E-2</v>
      </c>
      <c r="AE14" s="47">
        <v>5.7434427522095703E-2</v>
      </c>
      <c r="AF14" s="47">
        <v>3.9728601463387497E-2</v>
      </c>
      <c r="AG14" s="47">
        <v>2.45555053860598E-2</v>
      </c>
      <c r="AH14" s="47">
        <v>7.8524804547616095E-2</v>
      </c>
      <c r="AI14" s="35">
        <v>4.5324755933038502E-2</v>
      </c>
      <c r="AJ14" s="47"/>
      <c r="AK14" s="35">
        <v>3.9881714982666398E-2</v>
      </c>
    </row>
    <row r="15" spans="1:37" ht="13.5" customHeight="1" x14ac:dyDescent="0.3">
      <c r="A15" s="49" t="s">
        <v>193</v>
      </c>
      <c r="B15" s="49" t="s">
        <v>20</v>
      </c>
      <c r="C15" s="49" t="s">
        <v>196</v>
      </c>
      <c r="D15" s="32" t="s">
        <v>200</v>
      </c>
      <c r="E15" s="1"/>
      <c r="F15" s="1">
        <v>82</v>
      </c>
      <c r="G15" s="1">
        <v>100.00002499999999</v>
      </c>
      <c r="H15" s="1">
        <v>96.000474999999994</v>
      </c>
      <c r="I15" s="1">
        <v>96.000475000000094</v>
      </c>
      <c r="J15" s="1">
        <v>88.000349999999997</v>
      </c>
      <c r="K15" s="1">
        <v>85.000174999999999</v>
      </c>
      <c r="L15" s="1">
        <v>88.999724999999899</v>
      </c>
      <c r="M15" s="1">
        <v>90.999499999999998</v>
      </c>
      <c r="N15" s="1">
        <v>100.00002499999999</v>
      </c>
      <c r="O15" s="1">
        <v>100.00002499999999</v>
      </c>
      <c r="P15" s="1">
        <v>106.99975000000001</v>
      </c>
      <c r="Q15" s="33">
        <v>1034.0005249999999</v>
      </c>
      <c r="R15" s="1">
        <v>517.31200944216596</v>
      </c>
      <c r="S15" s="1">
        <v>469.11371883309698</v>
      </c>
      <c r="T15" s="1">
        <v>588.10786517802399</v>
      </c>
      <c r="U15" s="1">
        <v>464.10042280946101</v>
      </c>
      <c r="V15" s="1">
        <v>356.01986858046303</v>
      </c>
      <c r="W15" s="1">
        <v>340.50160289106799</v>
      </c>
      <c r="X15" s="1">
        <v>461.525261641035</v>
      </c>
      <c r="Y15" s="1">
        <v>371.35009833954001</v>
      </c>
      <c r="Z15" s="1">
        <v>342.73482577558502</v>
      </c>
      <c r="AA15" s="1">
        <v>327.12933720464099</v>
      </c>
      <c r="AB15" s="1">
        <v>213.52365371291901</v>
      </c>
      <c r="AC15" s="1">
        <v>452.62628325358401</v>
      </c>
      <c r="AD15" s="33">
        <v>4904.0449476615804</v>
      </c>
      <c r="AE15" s="1">
        <v>1374.05122971634</v>
      </c>
      <c r="AF15" s="1">
        <v>2976.6786502971399</v>
      </c>
      <c r="AG15" s="1">
        <v>3505.9055957294299</v>
      </c>
      <c r="AH15" s="1">
        <v>3633.5835153636499</v>
      </c>
      <c r="AI15" s="33">
        <v>11490.2189911066</v>
      </c>
      <c r="AJ15" s="1">
        <v>3265.1671370559902</v>
      </c>
      <c r="AK15" s="33">
        <v>20693.4316008241</v>
      </c>
    </row>
    <row r="16" spans="1:37" ht="13.5" customHeight="1" x14ac:dyDescent="0.3">
      <c r="A16" s="49" t="s">
        <v>193</v>
      </c>
      <c r="B16" s="50" t="s">
        <v>20</v>
      </c>
      <c r="C16" s="49" t="s">
        <v>196</v>
      </c>
      <c r="D16" s="34" t="s">
        <v>179</v>
      </c>
      <c r="E16" s="47"/>
      <c r="F16" s="47">
        <v>4.0128168555142599E-3</v>
      </c>
      <c r="G16" s="47">
        <v>1.07029090899527E-2</v>
      </c>
      <c r="H16" s="47">
        <v>1.27197540503101E-2</v>
      </c>
      <c r="I16" s="47">
        <v>9.5805296238977208E-3</v>
      </c>
      <c r="J16" s="47">
        <v>5.6716431205330103E-3</v>
      </c>
      <c r="K16" s="47">
        <v>1.26631906788707E-2</v>
      </c>
      <c r="L16" s="47">
        <v>6.8697552228625799E-3</v>
      </c>
      <c r="M16" s="47">
        <v>9.3693553221340306E-3</v>
      </c>
      <c r="N16" s="47">
        <v>5.419620904919E-3</v>
      </c>
      <c r="O16" s="47">
        <v>1.3718700892568899E-2</v>
      </c>
      <c r="P16" s="47">
        <v>9.6422011303477703E-3</v>
      </c>
      <c r="Q16" s="35">
        <v>9.2120057012694701E-3</v>
      </c>
      <c r="R16" s="47">
        <v>8.7072950271515903E-3</v>
      </c>
      <c r="S16" s="47">
        <v>9.4708420105562297E-3</v>
      </c>
      <c r="T16" s="47">
        <v>1.0821561339480401E-2</v>
      </c>
      <c r="U16" s="47">
        <v>1.6679796108628301E-2</v>
      </c>
      <c r="V16" s="47">
        <v>2.74328244694944E-2</v>
      </c>
      <c r="W16" s="47">
        <v>1.85532957211441E-2</v>
      </c>
      <c r="X16" s="47">
        <v>3.0052602733249001E-2</v>
      </c>
      <c r="Y16" s="47">
        <v>3.65607619629576E-2</v>
      </c>
      <c r="Z16" s="47">
        <v>4.64145371337732E-2</v>
      </c>
      <c r="AA16" s="47">
        <v>3.4069075117594799E-2</v>
      </c>
      <c r="AB16" s="47">
        <v>9.4393050748929799E-2</v>
      </c>
      <c r="AC16" s="47">
        <v>4.3296449306267103E-2</v>
      </c>
      <c r="AD16" s="35">
        <v>2.71997310472736E-2</v>
      </c>
      <c r="AE16" s="47">
        <v>7.6601088870949602E-2</v>
      </c>
      <c r="AF16" s="47">
        <v>7.2054303898443403E-2</v>
      </c>
      <c r="AG16" s="47">
        <v>5.6712400631474903E-2</v>
      </c>
      <c r="AH16" s="47">
        <v>5.6654049838627998E-2</v>
      </c>
      <c r="AI16" s="35">
        <v>6.3046829071867802E-2</v>
      </c>
      <c r="AJ16" s="47">
        <v>7.4810609940782299E-2</v>
      </c>
      <c r="AK16" s="35">
        <v>5.37177671449941E-2</v>
      </c>
    </row>
    <row r="17" spans="1:37" ht="12.75" customHeight="1" x14ac:dyDescent="0.3">
      <c r="A17" s="49" t="s">
        <v>193</v>
      </c>
      <c r="B17" s="49" t="s">
        <v>22</v>
      </c>
      <c r="C17" s="49" t="s">
        <v>196</v>
      </c>
      <c r="D17" s="32" t="s">
        <v>200</v>
      </c>
      <c r="E17" s="1"/>
      <c r="F17" s="1">
        <v>249.99955</v>
      </c>
      <c r="G17" s="1">
        <v>270.00037500000002</v>
      </c>
      <c r="H17" s="1">
        <v>227.37312657563999</v>
      </c>
      <c r="I17" s="1">
        <v>259.66799122973703</v>
      </c>
      <c r="J17" s="1">
        <v>232.481960446085</v>
      </c>
      <c r="K17" s="1">
        <v>237.08928517986001</v>
      </c>
      <c r="L17" s="1">
        <v>237.77431582734599</v>
      </c>
      <c r="M17" s="1">
        <v>252.38667858673199</v>
      </c>
      <c r="N17" s="1">
        <v>233.05084344837201</v>
      </c>
      <c r="O17" s="1">
        <v>231.55705121656499</v>
      </c>
      <c r="P17" s="1">
        <v>233.20462369331</v>
      </c>
      <c r="Q17" s="33">
        <v>2664.5858012036501</v>
      </c>
      <c r="R17" s="1">
        <v>61.863785771855497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3">
        <v>61.863785771855497</v>
      </c>
      <c r="AE17" s="1"/>
      <c r="AF17" s="1"/>
      <c r="AG17" s="1"/>
      <c r="AH17" s="1"/>
      <c r="AI17" s="33"/>
      <c r="AJ17" s="1"/>
      <c r="AK17" s="33">
        <v>2726.4495869755001</v>
      </c>
    </row>
    <row r="18" spans="1:37" ht="13.5" customHeight="1" x14ac:dyDescent="0.3">
      <c r="A18" s="49" t="s">
        <v>193</v>
      </c>
      <c r="B18" s="50" t="s">
        <v>22</v>
      </c>
      <c r="C18" s="49" t="s">
        <v>196</v>
      </c>
      <c r="D18" s="34" t="s">
        <v>179</v>
      </c>
      <c r="E18" s="47"/>
      <c r="F18" s="47">
        <v>8.6008947967995599E-3</v>
      </c>
      <c r="G18" s="47">
        <v>1.74859157043727E-2</v>
      </c>
      <c r="H18" s="47">
        <v>2.2619782119484601E-2</v>
      </c>
      <c r="I18" s="47">
        <v>1.2586959213854E-2</v>
      </c>
      <c r="J18" s="47">
        <v>2.6643192199157499E-2</v>
      </c>
      <c r="K18" s="47">
        <v>1.6545343347515201E-2</v>
      </c>
      <c r="L18" s="47">
        <v>3.06884777673469E-2</v>
      </c>
      <c r="M18" s="47">
        <v>2.0942018728443802E-2</v>
      </c>
      <c r="N18" s="47">
        <v>2.75464193862308E-2</v>
      </c>
      <c r="O18" s="47">
        <v>3.24319727453437E-2</v>
      </c>
      <c r="P18" s="47">
        <v>2.91089116850708E-2</v>
      </c>
      <c r="Q18" s="35">
        <v>2.2029723785226201E-2</v>
      </c>
      <c r="R18" s="47">
        <v>0.104704409552347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35">
        <v>0.104704409552347</v>
      </c>
      <c r="AE18" s="47"/>
      <c r="AF18" s="47"/>
      <c r="AG18" s="47"/>
      <c r="AH18" s="47"/>
      <c r="AI18" s="35"/>
      <c r="AJ18" s="47"/>
      <c r="AK18" s="35">
        <v>2.3905631952934599E-2</v>
      </c>
    </row>
    <row r="19" spans="1:37" ht="12.75" customHeight="1" x14ac:dyDescent="0.3">
      <c r="A19" s="49" t="s">
        <v>193</v>
      </c>
      <c r="B19" s="49" t="s">
        <v>17</v>
      </c>
      <c r="C19" s="49" t="s">
        <v>208</v>
      </c>
      <c r="D19" s="32" t="s">
        <v>200</v>
      </c>
      <c r="E19" s="1">
        <v>89.9822230511963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3">
        <v>89.9822230511963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3"/>
      <c r="AE19" s="1"/>
      <c r="AF19" s="1"/>
      <c r="AG19" s="1"/>
      <c r="AH19" s="1"/>
      <c r="AI19" s="33"/>
      <c r="AJ19" s="1"/>
      <c r="AK19" s="33">
        <v>89.9822230511963</v>
      </c>
    </row>
    <row r="20" spans="1:37" ht="12.75" customHeight="1" x14ac:dyDescent="0.3">
      <c r="A20" s="49" t="s">
        <v>193</v>
      </c>
      <c r="B20" s="50" t="s">
        <v>17</v>
      </c>
      <c r="C20" s="49" t="s">
        <v>208</v>
      </c>
      <c r="D20" s="34" t="s">
        <v>179</v>
      </c>
      <c r="E20" s="47">
        <v>0.66988172304551197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35">
        <v>0.66988172304551197</v>
      </c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35"/>
      <c r="AE20" s="47"/>
      <c r="AF20" s="47"/>
      <c r="AG20" s="47"/>
      <c r="AH20" s="47"/>
      <c r="AI20" s="35"/>
      <c r="AJ20" s="47"/>
      <c r="AK20" s="35">
        <v>0.66988172304551197</v>
      </c>
    </row>
    <row r="21" spans="1:37" ht="13.5" customHeight="1" x14ac:dyDescent="0.3">
      <c r="A21" s="49" t="s">
        <v>193</v>
      </c>
      <c r="B21" s="49" t="s">
        <v>18</v>
      </c>
      <c r="C21" s="49" t="s">
        <v>208</v>
      </c>
      <c r="D21" s="32" t="s">
        <v>200</v>
      </c>
      <c r="E21" s="1">
        <v>1.23604948067549</v>
      </c>
      <c r="F21" s="1">
        <v>36.824058353494301</v>
      </c>
      <c r="G21" s="1">
        <v>37.692414968905702</v>
      </c>
      <c r="H21" s="1">
        <v>56.742599289346401</v>
      </c>
      <c r="I21" s="1">
        <v>34.631195825932998</v>
      </c>
      <c r="J21" s="1">
        <v>45.161241273140398</v>
      </c>
      <c r="K21" s="1">
        <v>22.2505165657075</v>
      </c>
      <c r="L21" s="1">
        <v>31.540533828605501</v>
      </c>
      <c r="M21" s="1">
        <v>69.955594361625899</v>
      </c>
      <c r="N21" s="1">
        <v>39.299835954514101</v>
      </c>
      <c r="O21" s="1">
        <v>96.629087723634996</v>
      </c>
      <c r="P21" s="1">
        <v>13.9392080683998</v>
      </c>
      <c r="Q21" s="33">
        <v>485.90233569398299</v>
      </c>
      <c r="R21" s="1">
        <v>66.071220085641201</v>
      </c>
      <c r="S21" s="1">
        <v>120.830317989067</v>
      </c>
      <c r="T21" s="1">
        <v>120.42158645820901</v>
      </c>
      <c r="U21" s="1">
        <v>64.658795557970393</v>
      </c>
      <c r="V21" s="1">
        <v>161.02329517286299</v>
      </c>
      <c r="W21" s="1">
        <v>157.84632443506001</v>
      </c>
      <c r="X21" s="1">
        <v>145.75160814341399</v>
      </c>
      <c r="Y21" s="1">
        <v>160.51499510896599</v>
      </c>
      <c r="Z21" s="1">
        <v>85.535400989750002</v>
      </c>
      <c r="AA21" s="1">
        <v>40.517596056009502</v>
      </c>
      <c r="AB21" s="1">
        <v>164.11717031250001</v>
      </c>
      <c r="AC21" s="1">
        <v>39.266153554318102</v>
      </c>
      <c r="AD21" s="33">
        <v>1326.55446386377</v>
      </c>
      <c r="AE21" s="1">
        <v>382.25788171434499</v>
      </c>
      <c r="AF21" s="1">
        <v>132.114417647778</v>
      </c>
      <c r="AG21" s="1">
        <v>81.409690977047006</v>
      </c>
      <c r="AH21" s="1"/>
      <c r="AI21" s="33">
        <v>595.78199033916997</v>
      </c>
      <c r="AJ21" s="1"/>
      <c r="AK21" s="33">
        <v>2408.23878989692</v>
      </c>
    </row>
    <row r="22" spans="1:37" ht="12.75" customHeight="1" x14ac:dyDescent="0.3">
      <c r="A22" s="49" t="s">
        <v>193</v>
      </c>
      <c r="B22" s="50" t="s">
        <v>18</v>
      </c>
      <c r="C22" s="49" t="s">
        <v>208</v>
      </c>
      <c r="D22" s="34" t="s">
        <v>179</v>
      </c>
      <c r="E22" s="47">
        <v>0.33465</v>
      </c>
      <c r="F22" s="47">
        <v>0.48450143955958702</v>
      </c>
      <c r="G22" s="47">
        <v>0.51481002516608998</v>
      </c>
      <c r="H22" s="47">
        <v>0.53246182645682305</v>
      </c>
      <c r="I22" s="47">
        <v>0.37319168323569102</v>
      </c>
      <c r="J22" s="47">
        <v>0.501426176879604</v>
      </c>
      <c r="K22" s="47">
        <v>0.60540704757932196</v>
      </c>
      <c r="L22" s="47">
        <v>0.94833366869304403</v>
      </c>
      <c r="M22" s="47">
        <v>0.76571421721633603</v>
      </c>
      <c r="N22" s="47">
        <v>1.1142884137378</v>
      </c>
      <c r="O22" s="47">
        <v>0.97513885382138399</v>
      </c>
      <c r="P22" s="47">
        <v>0.31804167931078497</v>
      </c>
      <c r="Q22" s="35">
        <v>0.70557532607086004</v>
      </c>
      <c r="R22" s="47">
        <v>0.528454354626129</v>
      </c>
      <c r="S22" s="47">
        <v>0.74140764107413004</v>
      </c>
      <c r="T22" s="47">
        <v>0.86391989225592802</v>
      </c>
      <c r="U22" s="47">
        <v>0.76546580627984995</v>
      </c>
      <c r="V22" s="47">
        <v>0.81440517608124396</v>
      </c>
      <c r="W22" s="47">
        <v>0.98690339153863704</v>
      </c>
      <c r="X22" s="47">
        <v>0.68390434709658399</v>
      </c>
      <c r="Y22" s="47">
        <v>1.01240345007512</v>
      </c>
      <c r="Z22" s="47">
        <v>0.72926164047407604</v>
      </c>
      <c r="AA22" s="47">
        <v>1.04372813755889</v>
      </c>
      <c r="AB22" s="47">
        <v>0.90521447127878996</v>
      </c>
      <c r="AC22" s="47">
        <v>0.80732459584224303</v>
      </c>
      <c r="AD22" s="35">
        <v>0.83830785588505696</v>
      </c>
      <c r="AE22" s="47">
        <v>0.68276275756371496</v>
      </c>
      <c r="AF22" s="47">
        <v>0.81988251789210298</v>
      </c>
      <c r="AG22" s="47">
        <v>0.62492894664278098</v>
      </c>
      <c r="AH22" s="47"/>
      <c r="AI22" s="35">
        <v>0.705266399543657</v>
      </c>
      <c r="AJ22" s="47"/>
      <c r="AK22" s="35">
        <v>0.77861329797032997</v>
      </c>
    </row>
    <row r="23" spans="1:37" ht="13.5" customHeight="1" x14ac:dyDescent="0.3">
      <c r="A23" s="49" t="s">
        <v>193</v>
      </c>
      <c r="B23" s="49" t="s">
        <v>20</v>
      </c>
      <c r="C23" s="49" t="s">
        <v>208</v>
      </c>
      <c r="D23" s="32" t="s">
        <v>200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3"/>
      <c r="R23" s="1"/>
      <c r="S23" s="1"/>
      <c r="T23" s="1"/>
      <c r="U23" s="1"/>
      <c r="V23" s="1"/>
      <c r="W23" s="1"/>
      <c r="X23" s="1">
        <v>4.3464959982940101</v>
      </c>
      <c r="Y23" s="1"/>
      <c r="Z23" s="1">
        <v>0.47304933559630102</v>
      </c>
      <c r="AA23" s="1"/>
      <c r="AB23" s="1"/>
      <c r="AC23" s="1">
        <v>1.1297187816740899</v>
      </c>
      <c r="AD23" s="33">
        <v>5.9492641155644002</v>
      </c>
      <c r="AE23" s="1">
        <v>9.8162671160211907</v>
      </c>
      <c r="AF23" s="1">
        <v>270.573232352221</v>
      </c>
      <c r="AG23" s="1">
        <v>184.34312860402099</v>
      </c>
      <c r="AH23" s="1">
        <v>19.631044789671598</v>
      </c>
      <c r="AI23" s="33">
        <v>484.36367286193502</v>
      </c>
      <c r="AJ23" s="1">
        <v>205.819897002229</v>
      </c>
      <c r="AK23" s="33">
        <v>696.13283397972805</v>
      </c>
    </row>
    <row r="24" spans="1:37" ht="13.5" customHeight="1" x14ac:dyDescent="0.3">
      <c r="A24" s="49" t="s">
        <v>193</v>
      </c>
      <c r="B24" s="50" t="s">
        <v>20</v>
      </c>
      <c r="C24" s="49" t="s">
        <v>208</v>
      </c>
      <c r="D24" s="34" t="s">
        <v>179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5"/>
      <c r="R24" s="47"/>
      <c r="S24" s="47"/>
      <c r="T24" s="47"/>
      <c r="U24" s="47"/>
      <c r="V24" s="47"/>
      <c r="W24" s="47"/>
      <c r="X24" s="47">
        <v>0.31033070458741202</v>
      </c>
      <c r="Y24" s="47"/>
      <c r="Z24" s="47">
        <v>0.62370999999999999</v>
      </c>
      <c r="AA24" s="47"/>
      <c r="AB24" s="47"/>
      <c r="AC24" s="47">
        <v>0.74762232638494497</v>
      </c>
      <c r="AD24" s="35">
        <v>0.41828698509909401</v>
      </c>
      <c r="AE24" s="47">
        <v>0.42187665964557503</v>
      </c>
      <c r="AF24" s="47">
        <v>0.45280636561708698</v>
      </c>
      <c r="AG24" s="47">
        <v>0.44874867851359801</v>
      </c>
      <c r="AH24" s="47">
        <v>0.50648128550237903</v>
      </c>
      <c r="AI24" s="35">
        <v>0.45281064703883001</v>
      </c>
      <c r="AJ24" s="47">
        <v>0.73326209276397203</v>
      </c>
      <c r="AK24" s="35">
        <v>0.53543438561662304</v>
      </c>
    </row>
    <row r="25" spans="1:37" ht="13.5" customHeight="1" x14ac:dyDescent="0.3">
      <c r="A25" s="49" t="s">
        <v>193</v>
      </c>
      <c r="B25" s="49" t="s">
        <v>22</v>
      </c>
      <c r="C25" s="49" t="s">
        <v>208</v>
      </c>
      <c r="D25" s="32" t="s">
        <v>200</v>
      </c>
      <c r="E25" s="1"/>
      <c r="F25" s="1"/>
      <c r="G25" s="1"/>
      <c r="H25" s="1"/>
      <c r="I25" s="1">
        <v>0.720493424147992</v>
      </c>
      <c r="J25" s="1">
        <v>3.5844736631419698</v>
      </c>
      <c r="K25" s="1">
        <v>9.8418472101667405</v>
      </c>
      <c r="L25" s="1">
        <v>1.0845641031664801E-2</v>
      </c>
      <c r="M25" s="1">
        <v>3.8766851483596798</v>
      </c>
      <c r="N25" s="1">
        <v>6.1635637411982698</v>
      </c>
      <c r="O25" s="1">
        <v>2.0066622763648998</v>
      </c>
      <c r="P25" s="1"/>
      <c r="Q25" s="33">
        <v>26.204571104411201</v>
      </c>
      <c r="R25" s="1">
        <v>11.831230290588501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3">
        <v>11.831230290588501</v>
      </c>
      <c r="AE25" s="1"/>
      <c r="AF25" s="1"/>
      <c r="AG25" s="1"/>
      <c r="AH25" s="1"/>
      <c r="AI25" s="33"/>
      <c r="AJ25" s="1"/>
      <c r="AK25" s="33">
        <v>38.035801394999702</v>
      </c>
    </row>
    <row r="26" spans="1:37" ht="13.5" customHeight="1" x14ac:dyDescent="0.3">
      <c r="A26" s="49" t="s">
        <v>193</v>
      </c>
      <c r="B26" s="50" t="s">
        <v>22</v>
      </c>
      <c r="C26" s="49" t="s">
        <v>208</v>
      </c>
      <c r="D26" s="34" t="s">
        <v>179</v>
      </c>
      <c r="E26" s="47"/>
      <c r="F26" s="47"/>
      <c r="G26" s="47"/>
      <c r="H26" s="47"/>
      <c r="I26" s="47">
        <v>0.44992265005228899</v>
      </c>
      <c r="J26" s="47">
        <v>0.45579968283825201</v>
      </c>
      <c r="K26" s="47">
        <v>0.43688581309820401</v>
      </c>
      <c r="L26" s="47">
        <v>0.46462999999999999</v>
      </c>
      <c r="M26" s="47">
        <v>0.53625050134031405</v>
      </c>
      <c r="N26" s="47">
        <v>0.433494351080282</v>
      </c>
      <c r="O26" s="47">
        <v>0.318586244586062</v>
      </c>
      <c r="P26" s="47"/>
      <c r="Q26" s="35">
        <v>0.44468616836211999</v>
      </c>
      <c r="R26" s="47">
        <v>0.37774180554590198</v>
      </c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35">
        <v>0.37774180554590198</v>
      </c>
      <c r="AE26" s="47"/>
      <c r="AF26" s="47"/>
      <c r="AG26" s="47"/>
      <c r="AH26" s="47"/>
      <c r="AI26" s="35"/>
      <c r="AJ26" s="47"/>
      <c r="AK26" s="35">
        <v>0.42386278239188202</v>
      </c>
    </row>
    <row r="27" spans="1:37" ht="12.75" customHeight="1" x14ac:dyDescent="0.3">
      <c r="A27" s="49" t="s">
        <v>193</v>
      </c>
      <c r="B27" s="49" t="s">
        <v>17</v>
      </c>
      <c r="C27" s="49" t="s">
        <v>101</v>
      </c>
      <c r="D27" s="32" t="s">
        <v>200</v>
      </c>
      <c r="E27" s="1">
        <v>47.923961851459701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3">
        <v>47.923961851459701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3"/>
      <c r="AE27" s="1"/>
      <c r="AF27" s="1"/>
      <c r="AG27" s="1"/>
      <c r="AH27" s="1"/>
      <c r="AI27" s="33"/>
      <c r="AJ27" s="1"/>
      <c r="AK27" s="33">
        <v>47.923961851459701</v>
      </c>
    </row>
    <row r="28" spans="1:37" ht="13.5" customHeight="1" x14ac:dyDescent="0.3">
      <c r="A28" s="49" t="s">
        <v>193</v>
      </c>
      <c r="B28" s="50" t="s">
        <v>17</v>
      </c>
      <c r="C28" s="49" t="s">
        <v>101</v>
      </c>
      <c r="D28" s="34" t="s">
        <v>179</v>
      </c>
      <c r="E28" s="47">
        <v>1.0495614503889601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35">
        <v>1.0495614503889601</v>
      </c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35"/>
      <c r="AE28" s="47"/>
      <c r="AF28" s="47"/>
      <c r="AG28" s="47"/>
      <c r="AH28" s="47"/>
      <c r="AI28" s="35"/>
      <c r="AJ28" s="47"/>
      <c r="AK28" s="35">
        <v>1.0495614503889601</v>
      </c>
    </row>
    <row r="29" spans="1:37" ht="12.75" customHeight="1" x14ac:dyDescent="0.3">
      <c r="A29" s="49" t="s">
        <v>193</v>
      </c>
      <c r="B29" s="49" t="s">
        <v>18</v>
      </c>
      <c r="C29" s="49" t="s">
        <v>101</v>
      </c>
      <c r="D29" s="32" t="s">
        <v>200</v>
      </c>
      <c r="E29" s="1"/>
      <c r="F29" s="1"/>
      <c r="G29" s="1"/>
      <c r="H29" s="1"/>
      <c r="I29" s="1"/>
      <c r="J29" s="1"/>
      <c r="K29" s="1"/>
      <c r="L29" s="1">
        <v>17.148600267906101</v>
      </c>
      <c r="M29" s="1">
        <v>17.955891319177301</v>
      </c>
      <c r="N29" s="1"/>
      <c r="O29" s="1">
        <v>78.852728974151603</v>
      </c>
      <c r="P29" s="1">
        <v>342.393187937471</v>
      </c>
      <c r="Q29" s="33">
        <v>456.35040849870597</v>
      </c>
      <c r="R29" s="1">
        <v>45.527528166397602</v>
      </c>
      <c r="S29" s="1">
        <v>133.25236293234499</v>
      </c>
      <c r="T29" s="1">
        <v>269.33057964148702</v>
      </c>
      <c r="U29" s="1">
        <v>37.900001335277601</v>
      </c>
      <c r="V29" s="1">
        <v>142.14152679307799</v>
      </c>
      <c r="W29" s="1">
        <v>358.59084354306498</v>
      </c>
      <c r="X29" s="1">
        <v>18.229664306183999</v>
      </c>
      <c r="Y29" s="1">
        <v>360.67844744427498</v>
      </c>
      <c r="Z29" s="1">
        <v>147.39335840406099</v>
      </c>
      <c r="AA29" s="1">
        <v>162.219379896498</v>
      </c>
      <c r="AB29" s="1">
        <v>479.77716521669799</v>
      </c>
      <c r="AC29" s="1">
        <v>188.13230633774299</v>
      </c>
      <c r="AD29" s="33">
        <v>2343.1731640171101</v>
      </c>
      <c r="AE29" s="1">
        <v>756.28441393959895</v>
      </c>
      <c r="AF29" s="1">
        <v>71.371479629516898</v>
      </c>
      <c r="AG29" s="1">
        <v>193.56117286854899</v>
      </c>
      <c r="AH29" s="1">
        <v>85.680624025729998</v>
      </c>
      <c r="AI29" s="33">
        <v>1106.8976904633901</v>
      </c>
      <c r="AJ29" s="1"/>
      <c r="AK29" s="33">
        <v>3906.42126297921</v>
      </c>
    </row>
    <row r="30" spans="1:37" ht="12.75" customHeight="1" x14ac:dyDescent="0.3">
      <c r="A30" s="49" t="s">
        <v>193</v>
      </c>
      <c r="B30" s="50" t="s">
        <v>18</v>
      </c>
      <c r="C30" s="49" t="s">
        <v>101</v>
      </c>
      <c r="D30" s="34" t="s">
        <v>179</v>
      </c>
      <c r="E30" s="47"/>
      <c r="F30" s="47"/>
      <c r="G30" s="47"/>
      <c r="H30" s="47"/>
      <c r="I30" s="47"/>
      <c r="J30" s="47"/>
      <c r="K30" s="47"/>
      <c r="L30" s="47">
        <v>0.27536754025127302</v>
      </c>
      <c r="M30" s="47">
        <v>0.27606357616352101</v>
      </c>
      <c r="N30" s="47"/>
      <c r="O30" s="47">
        <v>1.6659083396224601</v>
      </c>
      <c r="P30" s="47">
        <v>0.927269531463218</v>
      </c>
      <c r="Q30" s="35">
        <v>1.00477903966115</v>
      </c>
      <c r="R30" s="47">
        <v>1.48861181209144</v>
      </c>
      <c r="S30" s="47">
        <v>0.421011213454767</v>
      </c>
      <c r="T30" s="47">
        <v>0.425747023314824</v>
      </c>
      <c r="U30" s="47">
        <v>0.33356671425919698</v>
      </c>
      <c r="V30" s="47">
        <v>0.34620323726757901</v>
      </c>
      <c r="W30" s="47">
        <v>0.517920350910966</v>
      </c>
      <c r="X30" s="47">
        <v>0.26552444546479498</v>
      </c>
      <c r="Y30" s="47">
        <v>0.42230217186941499</v>
      </c>
      <c r="Z30" s="47">
        <v>0.40457488123792101</v>
      </c>
      <c r="AA30" s="47">
        <v>0.37814034657955298</v>
      </c>
      <c r="AB30" s="47">
        <v>0.51637103289594699</v>
      </c>
      <c r="AC30" s="47">
        <v>0.38859024875252901</v>
      </c>
      <c r="AD30" s="35">
        <v>0.46308666466081999</v>
      </c>
      <c r="AE30" s="47">
        <v>0.72895506248393505</v>
      </c>
      <c r="AF30" s="47">
        <v>1.50497188572457</v>
      </c>
      <c r="AG30" s="47">
        <v>1.2351065381188899</v>
      </c>
      <c r="AH30" s="47">
        <v>1.13169281399778</v>
      </c>
      <c r="AI30" s="35">
        <v>0.89867586473342498</v>
      </c>
      <c r="AJ30" s="47"/>
      <c r="AK30" s="35">
        <v>0.64979315816555905</v>
      </c>
    </row>
    <row r="31" spans="1:37" ht="13.5" customHeight="1" x14ac:dyDescent="0.3">
      <c r="A31" s="49" t="s">
        <v>193</v>
      </c>
      <c r="B31" s="49" t="s">
        <v>20</v>
      </c>
      <c r="C31" s="49" t="s">
        <v>101</v>
      </c>
      <c r="D31" s="32" t="s">
        <v>200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3"/>
      <c r="R31" s="1"/>
      <c r="S31" s="1">
        <v>0.137564660937641</v>
      </c>
      <c r="T31" s="1">
        <v>1.9778766013524001</v>
      </c>
      <c r="U31" s="1">
        <v>7.0952732817907203</v>
      </c>
      <c r="V31" s="1">
        <v>0.77385451631562296</v>
      </c>
      <c r="W31" s="1">
        <v>1.4188177090021099</v>
      </c>
      <c r="X31" s="1">
        <v>3.7397547973729401</v>
      </c>
      <c r="Y31" s="1">
        <v>14.4650743304279</v>
      </c>
      <c r="Z31" s="1">
        <v>46.267660040337702</v>
      </c>
      <c r="AA31" s="1">
        <v>9.0287064635587395</v>
      </c>
      <c r="AB31" s="1">
        <v>55.152482484617899</v>
      </c>
      <c r="AC31" s="1">
        <v>25.403681005479601</v>
      </c>
      <c r="AD31" s="33">
        <v>165.460745891193</v>
      </c>
      <c r="AE31" s="1">
        <v>428.90052167168102</v>
      </c>
      <c r="AF31" s="1">
        <v>109.91734710605201</v>
      </c>
      <c r="AG31" s="1"/>
      <c r="AH31" s="1">
        <v>161.94149650471601</v>
      </c>
      <c r="AI31" s="33">
        <v>700.75936528244904</v>
      </c>
      <c r="AJ31" s="1">
        <v>444.82146088132203</v>
      </c>
      <c r="AK31" s="33">
        <v>1311.0415720549599</v>
      </c>
    </row>
    <row r="32" spans="1:37" ht="12.75" customHeight="1" x14ac:dyDescent="0.3">
      <c r="A32" s="49" t="s">
        <v>193</v>
      </c>
      <c r="B32" s="50" t="s">
        <v>20</v>
      </c>
      <c r="C32" s="49" t="s">
        <v>101</v>
      </c>
      <c r="D32" s="34" t="s">
        <v>179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35"/>
      <c r="R32" s="47"/>
      <c r="S32" s="47">
        <v>0.25123000000000001</v>
      </c>
      <c r="T32" s="47">
        <v>0.27730556194478301</v>
      </c>
      <c r="U32" s="47">
        <v>0.31060245385635399</v>
      </c>
      <c r="V32" s="47">
        <v>0.26190925968572099</v>
      </c>
      <c r="W32" s="47">
        <v>0.31659427782171801</v>
      </c>
      <c r="X32" s="47">
        <v>0.26548587661109802</v>
      </c>
      <c r="Y32" s="47">
        <v>0.30005714906050002</v>
      </c>
      <c r="Z32" s="47">
        <v>0.33300429234600798</v>
      </c>
      <c r="AA32" s="47">
        <v>0.333772221924232</v>
      </c>
      <c r="AB32" s="47">
        <v>0.35074275045429598</v>
      </c>
      <c r="AC32" s="47">
        <v>0.36800153328281399</v>
      </c>
      <c r="AD32" s="35">
        <v>0.337758080260465</v>
      </c>
      <c r="AE32" s="47">
        <v>0.444293111344091</v>
      </c>
      <c r="AF32" s="47">
        <v>0.61999144009304796</v>
      </c>
      <c r="AG32" s="47"/>
      <c r="AH32" s="47">
        <v>0.94421303962873204</v>
      </c>
      <c r="AI32" s="35">
        <v>0.58738085368997195</v>
      </c>
      <c r="AJ32" s="47">
        <v>0.320243698558909</v>
      </c>
      <c r="AK32" s="35">
        <v>0.465240478207324</v>
      </c>
    </row>
    <row r="33" spans="1:37" ht="13.5" customHeight="1" x14ac:dyDescent="0.3">
      <c r="A33" s="49" t="s">
        <v>193</v>
      </c>
      <c r="B33" s="49" t="s">
        <v>22</v>
      </c>
      <c r="C33" s="49" t="s">
        <v>101</v>
      </c>
      <c r="D33" s="32" t="s">
        <v>200</v>
      </c>
      <c r="E33" s="1"/>
      <c r="F33" s="1"/>
      <c r="G33" s="1"/>
      <c r="H33" s="1"/>
      <c r="I33" s="1"/>
      <c r="J33" s="1"/>
      <c r="K33" s="1"/>
      <c r="L33" s="1">
        <v>0.68756284837036197</v>
      </c>
      <c r="M33" s="1">
        <v>1.75530623315717</v>
      </c>
      <c r="N33" s="1"/>
      <c r="O33" s="1"/>
      <c r="P33" s="1">
        <v>1.7950763066900799</v>
      </c>
      <c r="Q33" s="33">
        <v>4.2379453882176099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33"/>
      <c r="AE33" s="1"/>
      <c r="AF33" s="1"/>
      <c r="AG33" s="1"/>
      <c r="AH33" s="1"/>
      <c r="AI33" s="33"/>
      <c r="AJ33" s="1"/>
      <c r="AK33" s="33">
        <v>4.2379453882176099</v>
      </c>
    </row>
    <row r="34" spans="1:37" ht="13.5" customHeight="1" x14ac:dyDescent="0.3">
      <c r="A34" s="49" t="s">
        <v>193</v>
      </c>
      <c r="B34" s="50" t="s">
        <v>22</v>
      </c>
      <c r="C34" s="49" t="s">
        <v>101</v>
      </c>
      <c r="D34" s="34" t="s">
        <v>179</v>
      </c>
      <c r="E34" s="47"/>
      <c r="F34" s="47"/>
      <c r="G34" s="47"/>
      <c r="H34" s="47"/>
      <c r="I34" s="47"/>
      <c r="J34" s="47"/>
      <c r="K34" s="47"/>
      <c r="L34" s="47">
        <v>0.25875058298583897</v>
      </c>
      <c r="M34" s="47">
        <v>0.30113661991056101</v>
      </c>
      <c r="N34" s="47"/>
      <c r="O34" s="47"/>
      <c r="P34" s="47">
        <v>0.41648928847508598</v>
      </c>
      <c r="Q34" s="35">
        <v>0.34312011938396703</v>
      </c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35"/>
      <c r="AE34" s="47"/>
      <c r="AF34" s="47"/>
      <c r="AG34" s="47"/>
      <c r="AH34" s="47"/>
      <c r="AI34" s="35"/>
      <c r="AJ34" s="47"/>
      <c r="AK34" s="35">
        <v>0.34312011938396703</v>
      </c>
    </row>
    <row r="35" spans="1:37" ht="13.5" customHeight="1" x14ac:dyDescent="0.3">
      <c r="A35" s="49" t="s">
        <v>112</v>
      </c>
      <c r="B35" s="49" t="s">
        <v>112</v>
      </c>
      <c r="C35" s="54" t="s">
        <v>181</v>
      </c>
      <c r="D35" s="32" t="s">
        <v>200</v>
      </c>
      <c r="E35" s="1">
        <v>374.10289753187197</v>
      </c>
      <c r="F35" s="1">
        <v>434.451192858529</v>
      </c>
      <c r="G35" s="1">
        <v>460.90864386892201</v>
      </c>
      <c r="H35" s="1">
        <v>449.00490612172803</v>
      </c>
      <c r="I35" s="1">
        <v>475.16617951827999</v>
      </c>
      <c r="J35" s="1">
        <v>465.36497962874199</v>
      </c>
      <c r="K35" s="1">
        <v>496.36867133838803</v>
      </c>
      <c r="L35" s="1">
        <v>489.49147368798998</v>
      </c>
      <c r="M35" s="1">
        <v>428.797868491646</v>
      </c>
      <c r="N35" s="1">
        <v>481.24731963543798</v>
      </c>
      <c r="O35" s="1">
        <v>248.67890270003801</v>
      </c>
      <c r="P35" s="1">
        <v>501.82383306840001</v>
      </c>
      <c r="Q35" s="33">
        <v>5305.4068684499698</v>
      </c>
      <c r="R35" s="1">
        <v>342.98487537622998</v>
      </c>
      <c r="S35" s="1">
        <v>385.91274298906598</v>
      </c>
      <c r="T35" s="1">
        <v>385.50392252357102</v>
      </c>
      <c r="U35" s="1">
        <v>333.03147055797001</v>
      </c>
      <c r="V35" s="1">
        <v>429.39597017286297</v>
      </c>
      <c r="W35" s="1">
        <v>426.21899943506003</v>
      </c>
      <c r="X35" s="1">
        <v>425.413104141708</v>
      </c>
      <c r="Y35" s="1">
        <v>435.82984115960602</v>
      </c>
      <c r="Z35" s="1">
        <v>361.32345032534602</v>
      </c>
      <c r="AA35" s="1">
        <v>315.84683190980701</v>
      </c>
      <c r="AB35" s="1">
        <v>411.79676492227202</v>
      </c>
      <c r="AC35" s="1">
        <v>315.72522233599199</v>
      </c>
      <c r="AD35" s="33">
        <v>4568.9831958494897</v>
      </c>
      <c r="AE35" s="1">
        <v>865.21033164084804</v>
      </c>
      <c r="AF35" s="1">
        <v>402.68780541538001</v>
      </c>
      <c r="AG35" s="1">
        <v>666.70869512600905</v>
      </c>
      <c r="AH35" s="1">
        <v>1009.36744334687</v>
      </c>
      <c r="AI35" s="33">
        <v>2943.9742755291099</v>
      </c>
      <c r="AJ35" s="1">
        <v>615.70754281453696</v>
      </c>
      <c r="AK35" s="33">
        <v>13434.0718826431</v>
      </c>
    </row>
    <row r="36" spans="1:37" ht="13.5" customHeight="1" x14ac:dyDescent="0.3">
      <c r="A36" s="49" t="s">
        <v>112</v>
      </c>
      <c r="B36" s="49" t="s">
        <v>112</v>
      </c>
      <c r="C36" s="54" t="s">
        <v>181</v>
      </c>
      <c r="D36" s="34" t="s">
        <v>179</v>
      </c>
      <c r="E36" s="47">
        <v>0.85065774226031099</v>
      </c>
      <c r="F36" s="47">
        <v>0.78225716489366504</v>
      </c>
      <c r="G36" s="47">
        <v>0.81493866463764197</v>
      </c>
      <c r="H36" s="47">
        <v>0.79946158153347402</v>
      </c>
      <c r="I36" s="47">
        <v>0.79627669582636995</v>
      </c>
      <c r="J36" s="47">
        <v>0.83159426592554497</v>
      </c>
      <c r="K36" s="47">
        <v>0.89953042009624595</v>
      </c>
      <c r="L36" s="47">
        <v>0.84576752083819795</v>
      </c>
      <c r="M36" s="47">
        <v>0.64837338286158797</v>
      </c>
      <c r="N36" s="47">
        <v>0.55753053047246603</v>
      </c>
      <c r="O36" s="47">
        <v>0.62206889818686595</v>
      </c>
      <c r="P36" s="47">
        <v>0.59561764688637997</v>
      </c>
      <c r="Q36" s="35">
        <v>0.75742269812060703</v>
      </c>
      <c r="R36" s="47">
        <v>0.75941662238793906</v>
      </c>
      <c r="S36" s="47">
        <v>0.80462700152576205</v>
      </c>
      <c r="T36" s="47">
        <v>0.55169847822523899</v>
      </c>
      <c r="U36" s="47">
        <v>0.49230118315611598</v>
      </c>
      <c r="V36" s="47">
        <v>0.54644720010757497</v>
      </c>
      <c r="W36" s="47">
        <v>0.59879404013631599</v>
      </c>
      <c r="X36" s="47">
        <v>0.57973941253148997</v>
      </c>
      <c r="Y36" s="47">
        <v>0.63364003441058603</v>
      </c>
      <c r="Z36" s="47">
        <v>0.508690733975667</v>
      </c>
      <c r="AA36" s="47">
        <v>0.46835019772415898</v>
      </c>
      <c r="AB36" s="47">
        <v>0.58543405787311897</v>
      </c>
      <c r="AC36" s="47">
        <v>0.55886704288317901</v>
      </c>
      <c r="AD36" s="35">
        <v>0.59302530077253002</v>
      </c>
      <c r="AE36" s="47">
        <v>0.54411244311652796</v>
      </c>
      <c r="AF36" s="47">
        <v>0.57323718421294401</v>
      </c>
      <c r="AG36" s="47">
        <v>0.591826987622732</v>
      </c>
      <c r="AH36" s="47">
        <v>0.749788601409629</v>
      </c>
      <c r="AI36" s="35">
        <v>0.62941981143252501</v>
      </c>
      <c r="AJ36" s="47">
        <v>0.88844061594983603</v>
      </c>
      <c r="AK36" s="35">
        <v>0.67946439624269706</v>
      </c>
    </row>
    <row r="37" spans="1:37" ht="12.75" customHeight="1" x14ac:dyDescent="0.3">
      <c r="A37" s="49" t="s">
        <v>112</v>
      </c>
      <c r="B37" s="49" t="s">
        <v>112</v>
      </c>
      <c r="C37" s="29" t="s">
        <v>209</v>
      </c>
      <c r="D37" s="32" t="s">
        <v>200</v>
      </c>
      <c r="E37" s="1">
        <v>93.337077466678807</v>
      </c>
      <c r="F37" s="1">
        <v>69.879466646505705</v>
      </c>
      <c r="G37" s="1">
        <v>165.68296003109401</v>
      </c>
      <c r="H37" s="1">
        <v>47.2805507106536</v>
      </c>
      <c r="I37" s="1">
        <v>91.199935749919007</v>
      </c>
      <c r="J37" s="1">
        <v>58.738860063717603</v>
      </c>
      <c r="K37" s="1">
        <v>125.89191122412601</v>
      </c>
      <c r="L37" s="1">
        <v>187.02577053036299</v>
      </c>
      <c r="M37" s="1">
        <v>145.88159549001401</v>
      </c>
      <c r="N37" s="1">
        <v>161.04947723289001</v>
      </c>
      <c r="O37" s="1"/>
      <c r="P37" s="1">
        <v>210.06736693159399</v>
      </c>
      <c r="Q37" s="33">
        <v>1356.03497207756</v>
      </c>
      <c r="R37" s="1">
        <v>81.146799623770207</v>
      </c>
      <c r="S37" s="1">
        <v>38.218932010933202</v>
      </c>
      <c r="T37" s="1">
        <v>38.627663541790703</v>
      </c>
      <c r="U37" s="1">
        <v>96.364604442029602</v>
      </c>
      <c r="V37" s="1">
        <v>1.04827136498865E-4</v>
      </c>
      <c r="W37" s="1">
        <v>3.1770755649404401</v>
      </c>
      <c r="X37" s="1">
        <v>15.0908958582924</v>
      </c>
      <c r="Y37" s="1">
        <v>4.6740048910343299</v>
      </c>
      <c r="Z37" s="1">
        <v>79.180549514647694</v>
      </c>
      <c r="AA37" s="1">
        <v>124.68062894399</v>
      </c>
      <c r="AB37" s="1">
        <v>1.0810546875</v>
      </c>
      <c r="AC37" s="1">
        <v>124.802352664008</v>
      </c>
      <c r="AD37" s="33">
        <v>607.04466657007299</v>
      </c>
      <c r="AE37" s="1">
        <v>236.11350116963399</v>
      </c>
      <c r="AF37" s="1"/>
      <c r="AG37" s="1">
        <v>38.860780418932002</v>
      </c>
      <c r="AH37" s="1">
        <v>284.98255521032797</v>
      </c>
      <c r="AI37" s="33">
        <v>559.95683679889396</v>
      </c>
      <c r="AJ37" s="1">
        <v>160.04462799777099</v>
      </c>
      <c r="AK37" s="33">
        <v>2683.08110344429</v>
      </c>
    </row>
    <row r="38" spans="1:37" ht="13.5" customHeight="1" x14ac:dyDescent="0.3">
      <c r="A38" s="49" t="s">
        <v>112</v>
      </c>
      <c r="B38" s="49" t="s">
        <v>112</v>
      </c>
      <c r="C38" s="29" t="s">
        <v>209</v>
      </c>
      <c r="D38" s="34" t="s">
        <v>179</v>
      </c>
      <c r="E38" s="47">
        <v>1.94947682032605</v>
      </c>
      <c r="F38" s="47">
        <v>2.0680900760463099</v>
      </c>
      <c r="G38" s="47">
        <v>1.4921791464900001</v>
      </c>
      <c r="H38" s="47">
        <v>1.4921791464900001</v>
      </c>
      <c r="I38" s="47">
        <v>0.39874754083000002</v>
      </c>
      <c r="J38" s="47">
        <v>1.4921791464900001</v>
      </c>
      <c r="K38" s="47">
        <v>1.4921791464900001</v>
      </c>
      <c r="L38" s="47">
        <v>0.96780340475370197</v>
      </c>
      <c r="M38" s="47">
        <v>0.38358420915236902</v>
      </c>
      <c r="N38" s="47">
        <v>0.384005257682829</v>
      </c>
      <c r="O38" s="47"/>
      <c r="P38" s="47">
        <v>0.87440013025093699</v>
      </c>
      <c r="Q38" s="35">
        <v>1.0608959278833701</v>
      </c>
      <c r="R38" s="47">
        <v>0.87818872365840095</v>
      </c>
      <c r="S38" s="47">
        <v>1.2080889741405501</v>
      </c>
      <c r="T38" s="47">
        <v>0.34481835423636997</v>
      </c>
      <c r="U38" s="47">
        <v>0.409186321848027</v>
      </c>
      <c r="V38" s="47">
        <v>0.37830000000000003</v>
      </c>
      <c r="W38" s="47">
        <v>0.35633122986711102</v>
      </c>
      <c r="X38" s="47">
        <v>0.47734771229326201</v>
      </c>
      <c r="Y38" s="47">
        <v>0.33329537712080598</v>
      </c>
      <c r="Z38" s="47">
        <v>0.43629342175208302</v>
      </c>
      <c r="AA38" s="47">
        <v>0.378601297223573</v>
      </c>
      <c r="AB38" s="47">
        <v>0.35502</v>
      </c>
      <c r="AC38" s="47">
        <v>0.53739961029886596</v>
      </c>
      <c r="AD38" s="35">
        <v>0.54243285627416304</v>
      </c>
      <c r="AE38" s="47">
        <v>0.41863448340856801</v>
      </c>
      <c r="AF38" s="47"/>
      <c r="AG38" s="47">
        <v>0.98023603204353404</v>
      </c>
      <c r="AH38" s="47">
        <v>0.65390831681341599</v>
      </c>
      <c r="AI38" s="35">
        <v>0.57734888216533597</v>
      </c>
      <c r="AJ38" s="47">
        <v>0.99799025301590605</v>
      </c>
      <c r="AK38" s="35">
        <v>0.83892595792375602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765D-AC6A-4CF3-B2DC-88D94F35AA4E}">
  <sheetPr>
    <tabColor theme="7" tint="0.59999389629810485"/>
    <outlinePr summaryBelow="0"/>
  </sheetPr>
  <dimension ref="A1:AK35"/>
  <sheetViews>
    <sheetView showGridLines="0" workbookViewId="0">
      <selection activeCell="F22" sqref="F22"/>
    </sheetView>
  </sheetViews>
  <sheetFormatPr defaultRowHeight="14.4" x14ac:dyDescent="0.3"/>
  <cols>
    <col min="1" max="1" width="11.44140625" style="13" customWidth="1"/>
    <col min="2" max="2" width="16.109375" style="13" customWidth="1"/>
    <col min="3" max="3" width="9" style="13" customWidth="1"/>
    <col min="4" max="7" width="11.44140625" style="13" customWidth="1"/>
    <col min="8" max="8" width="9" style="13" customWidth="1"/>
    <col min="9" max="12" width="11.44140625" style="13" customWidth="1"/>
    <col min="13" max="13" width="9" style="13" customWidth="1"/>
    <col min="14" max="17" width="11.44140625" style="13" customWidth="1"/>
    <col min="18" max="18" width="9.109375" style="13" customWidth="1"/>
    <col min="19" max="22" width="11.44140625" style="13" customWidth="1"/>
    <col min="23" max="23" width="9.109375" style="13" customWidth="1"/>
    <col min="24" max="27" width="11.44140625" style="13" customWidth="1"/>
    <col min="28" max="28" width="9" style="13" customWidth="1"/>
    <col min="29" max="32" width="11.44140625" style="13" customWidth="1"/>
    <col min="33" max="33" width="9" style="13" customWidth="1"/>
    <col min="34" max="37" width="11.44140625" style="13" customWidth="1"/>
    <col min="38" max="16384" width="8.88671875" style="13"/>
  </cols>
  <sheetData>
    <row r="1" spans="1:37" ht="13.5" customHeight="1" x14ac:dyDescent="0.3">
      <c r="C1" s="51" t="s">
        <v>193</v>
      </c>
      <c r="D1" s="51" t="s">
        <v>193</v>
      </c>
      <c r="E1" s="51" t="s">
        <v>193</v>
      </c>
      <c r="F1" s="51" t="s">
        <v>193</v>
      </c>
      <c r="G1" s="51" t="s">
        <v>193</v>
      </c>
      <c r="H1" s="51" t="s">
        <v>193</v>
      </c>
      <c r="I1" s="51" t="s">
        <v>193</v>
      </c>
      <c r="J1" s="51" t="s">
        <v>193</v>
      </c>
      <c r="K1" s="51" t="s">
        <v>193</v>
      </c>
      <c r="L1" s="51" t="s">
        <v>193</v>
      </c>
      <c r="M1" s="51" t="s">
        <v>193</v>
      </c>
      <c r="N1" s="51" t="s">
        <v>193</v>
      </c>
      <c r="O1" s="51" t="s">
        <v>193</v>
      </c>
      <c r="P1" s="51" t="s">
        <v>193</v>
      </c>
      <c r="Q1" s="51" t="s">
        <v>193</v>
      </c>
      <c r="R1" s="51" t="s">
        <v>193</v>
      </c>
      <c r="S1" s="51" t="s">
        <v>193</v>
      </c>
      <c r="T1" s="51" t="s">
        <v>193</v>
      </c>
      <c r="U1" s="51" t="s">
        <v>193</v>
      </c>
      <c r="V1" s="51" t="s">
        <v>193</v>
      </c>
      <c r="W1" s="51" t="s">
        <v>210</v>
      </c>
      <c r="X1" s="51" t="s">
        <v>210</v>
      </c>
      <c r="Y1" s="51" t="s">
        <v>210</v>
      </c>
      <c r="Z1" s="51" t="s">
        <v>210</v>
      </c>
      <c r="AA1" s="51" t="s">
        <v>210</v>
      </c>
      <c r="AB1" s="51" t="s">
        <v>112</v>
      </c>
      <c r="AC1" s="51" t="s">
        <v>112</v>
      </c>
      <c r="AD1" s="51" t="s">
        <v>112</v>
      </c>
      <c r="AE1" s="51" t="s">
        <v>112</v>
      </c>
      <c r="AF1" s="51" t="s">
        <v>112</v>
      </c>
      <c r="AG1" s="56" t="s">
        <v>24</v>
      </c>
      <c r="AH1" s="56" t="s">
        <v>24</v>
      </c>
      <c r="AI1" s="56" t="s">
        <v>24</v>
      </c>
      <c r="AJ1" s="56" t="s">
        <v>24</v>
      </c>
      <c r="AK1" s="56" t="s">
        <v>24</v>
      </c>
    </row>
    <row r="2" spans="1:37" ht="12.75" customHeight="1" x14ac:dyDescent="0.3">
      <c r="C2" s="51" t="s">
        <v>17</v>
      </c>
      <c r="D2" s="51" t="s">
        <v>17</v>
      </c>
      <c r="E2" s="51" t="s">
        <v>17</v>
      </c>
      <c r="F2" s="51" t="s">
        <v>17</v>
      </c>
      <c r="G2" s="51" t="s">
        <v>17</v>
      </c>
      <c r="H2" s="51" t="s">
        <v>18</v>
      </c>
      <c r="I2" s="51" t="s">
        <v>18</v>
      </c>
      <c r="J2" s="51" t="s">
        <v>18</v>
      </c>
      <c r="K2" s="51" t="s">
        <v>18</v>
      </c>
      <c r="L2" s="51" t="s">
        <v>18</v>
      </c>
      <c r="M2" s="51" t="s">
        <v>20</v>
      </c>
      <c r="N2" s="51" t="s">
        <v>20</v>
      </c>
      <c r="O2" s="51" t="s">
        <v>20</v>
      </c>
      <c r="P2" s="51" t="s">
        <v>20</v>
      </c>
      <c r="Q2" s="51" t="s">
        <v>20</v>
      </c>
      <c r="R2" s="51" t="s">
        <v>22</v>
      </c>
      <c r="S2" s="51" t="s">
        <v>22</v>
      </c>
      <c r="T2" s="51" t="s">
        <v>22</v>
      </c>
      <c r="U2" s="51" t="s">
        <v>22</v>
      </c>
      <c r="V2" s="51" t="s">
        <v>22</v>
      </c>
      <c r="W2" s="51" t="s">
        <v>210</v>
      </c>
      <c r="X2" s="51" t="s">
        <v>210</v>
      </c>
      <c r="Y2" s="51" t="s">
        <v>210</v>
      </c>
      <c r="Z2" s="51" t="s">
        <v>210</v>
      </c>
      <c r="AA2" s="51" t="s">
        <v>210</v>
      </c>
      <c r="AB2" s="51" t="s">
        <v>112</v>
      </c>
      <c r="AC2" s="51" t="s">
        <v>112</v>
      </c>
      <c r="AD2" s="51" t="s">
        <v>112</v>
      </c>
      <c r="AE2" s="51" t="s">
        <v>112</v>
      </c>
      <c r="AF2" s="51" t="s">
        <v>112</v>
      </c>
      <c r="AG2" s="56" t="s">
        <v>24</v>
      </c>
      <c r="AH2" s="56" t="s">
        <v>24</v>
      </c>
      <c r="AI2" s="56" t="s">
        <v>24</v>
      </c>
      <c r="AJ2" s="56" t="s">
        <v>24</v>
      </c>
      <c r="AK2" s="56" t="s">
        <v>24</v>
      </c>
    </row>
    <row r="3" spans="1:37" ht="13.5" customHeight="1" x14ac:dyDescent="0.3">
      <c r="A3" s="31" t="s">
        <v>201</v>
      </c>
      <c r="B3" s="31" t="s">
        <v>211</v>
      </c>
      <c r="C3" s="32" t="s">
        <v>200</v>
      </c>
      <c r="D3" s="32" t="s">
        <v>113</v>
      </c>
      <c r="E3" s="32" t="s">
        <v>114</v>
      </c>
      <c r="F3" s="32" t="s">
        <v>115</v>
      </c>
      <c r="G3" s="32" t="s">
        <v>116</v>
      </c>
      <c r="H3" s="32" t="s">
        <v>200</v>
      </c>
      <c r="I3" s="32" t="s">
        <v>113</v>
      </c>
      <c r="J3" s="32" t="s">
        <v>114</v>
      </c>
      <c r="K3" s="32" t="s">
        <v>115</v>
      </c>
      <c r="L3" s="32" t="s">
        <v>116</v>
      </c>
      <c r="M3" s="32" t="s">
        <v>200</v>
      </c>
      <c r="N3" s="32" t="s">
        <v>113</v>
      </c>
      <c r="O3" s="32" t="s">
        <v>114</v>
      </c>
      <c r="P3" s="32" t="s">
        <v>115</v>
      </c>
      <c r="Q3" s="32" t="s">
        <v>116</v>
      </c>
      <c r="R3" s="32" t="s">
        <v>200</v>
      </c>
      <c r="S3" s="32" t="s">
        <v>113</v>
      </c>
      <c r="T3" s="32" t="s">
        <v>114</v>
      </c>
      <c r="U3" s="32" t="s">
        <v>115</v>
      </c>
      <c r="V3" s="32" t="s">
        <v>116</v>
      </c>
      <c r="W3" s="31" t="s">
        <v>200</v>
      </c>
      <c r="X3" s="31" t="s">
        <v>113</v>
      </c>
      <c r="Y3" s="31" t="s">
        <v>114</v>
      </c>
      <c r="Z3" s="31" t="s">
        <v>115</v>
      </c>
      <c r="AA3" s="31" t="s">
        <v>116</v>
      </c>
      <c r="AB3" s="31" t="s">
        <v>200</v>
      </c>
      <c r="AC3" s="31" t="s">
        <v>113</v>
      </c>
      <c r="AD3" s="31" t="s">
        <v>114</v>
      </c>
      <c r="AE3" s="31" t="s">
        <v>115</v>
      </c>
      <c r="AF3" s="31" t="s">
        <v>116</v>
      </c>
      <c r="AG3" s="31" t="s">
        <v>200</v>
      </c>
      <c r="AH3" s="31" t="s">
        <v>113</v>
      </c>
      <c r="AI3" s="31" t="s">
        <v>114</v>
      </c>
      <c r="AJ3" s="31" t="s">
        <v>115</v>
      </c>
      <c r="AK3" s="31" t="s">
        <v>116</v>
      </c>
    </row>
    <row r="4" spans="1:37" ht="12.75" customHeight="1" x14ac:dyDescent="0.3">
      <c r="A4" s="29" t="s">
        <v>0</v>
      </c>
      <c r="B4" s="31" t="s">
        <v>39</v>
      </c>
      <c r="C4" s="4">
        <v>433.256095846714</v>
      </c>
      <c r="D4" s="4">
        <v>6475.6305613481791</v>
      </c>
      <c r="E4" s="4">
        <v>1866.9781265133922</v>
      </c>
      <c r="F4" s="4">
        <v>2212.5734784805054</v>
      </c>
      <c r="G4" s="4">
        <v>2396.0789563542808</v>
      </c>
      <c r="H4" s="4">
        <v>898.99982499999999</v>
      </c>
      <c r="I4" s="4">
        <v>6765.7194559662366</v>
      </c>
      <c r="J4" s="4">
        <v>1550.7799529434092</v>
      </c>
      <c r="K4" s="4">
        <v>3356.0080741540278</v>
      </c>
      <c r="L4" s="4">
        <v>1858.9314288687995</v>
      </c>
      <c r="M4" s="4"/>
      <c r="N4" s="4"/>
      <c r="O4" s="4"/>
      <c r="P4" s="4"/>
      <c r="Q4" s="4"/>
      <c r="R4" s="4"/>
      <c r="S4" s="4"/>
      <c r="T4" s="4"/>
      <c r="U4" s="4"/>
      <c r="V4" s="4"/>
      <c r="W4" s="33">
        <v>1332.2559208467101</v>
      </c>
      <c r="X4" s="33">
        <v>6671.3811385573481</v>
      </c>
      <c r="Y4" s="33">
        <v>1653.6091346727915</v>
      </c>
      <c r="Z4" s="33">
        <v>2984.1575903050052</v>
      </c>
      <c r="AA4" s="33">
        <v>2033.6144135795512</v>
      </c>
      <c r="AB4" s="33">
        <v>467.43997499855101</v>
      </c>
      <c r="AC4" s="33">
        <v>4778.7260375364986</v>
      </c>
      <c r="AD4" s="33">
        <v>95.506719229976198</v>
      </c>
      <c r="AE4" s="33">
        <v>3441.9220925051568</v>
      </c>
      <c r="AF4" s="33">
        <v>1241.2972258013663</v>
      </c>
      <c r="AG4" s="33">
        <v>1799.6958958452601</v>
      </c>
      <c r="AH4" s="33">
        <v>6179.7966130025197</v>
      </c>
      <c r="AI4" s="33">
        <v>1248.9189001719783</v>
      </c>
      <c r="AJ4" s="33">
        <v>3103.0540260626494</v>
      </c>
      <c r="AK4" s="33">
        <v>1827.8236867678922</v>
      </c>
    </row>
    <row r="5" spans="1:37" ht="13.5" customHeight="1" x14ac:dyDescent="0.3">
      <c r="A5" s="29" t="s">
        <v>0</v>
      </c>
      <c r="B5" s="31" t="s">
        <v>40</v>
      </c>
      <c r="C5" s="4"/>
      <c r="D5" s="4"/>
      <c r="E5" s="4"/>
      <c r="F5" s="4"/>
      <c r="G5" s="4"/>
      <c r="H5" s="4">
        <v>1134.9999250000001</v>
      </c>
      <c r="I5" s="4">
        <v>5715.2250314613093</v>
      </c>
      <c r="J5" s="4">
        <v>690.3645849327155</v>
      </c>
      <c r="K5" s="4">
        <v>2621.4661095310853</v>
      </c>
      <c r="L5" s="4">
        <v>2403.3943369975082</v>
      </c>
      <c r="M5" s="4"/>
      <c r="N5" s="4"/>
      <c r="O5" s="4"/>
      <c r="P5" s="4"/>
      <c r="Q5" s="4"/>
      <c r="R5" s="4">
        <v>249.99955</v>
      </c>
      <c r="S5" s="4">
        <v>5175.5022063636488</v>
      </c>
      <c r="T5" s="4">
        <v>81.890341208898008</v>
      </c>
      <c r="U5" s="4">
        <v>2922.7354348790527</v>
      </c>
      <c r="V5" s="4">
        <v>2170.8764302756977</v>
      </c>
      <c r="W5" s="33">
        <v>1384.9994750000001</v>
      </c>
      <c r="X5" s="33">
        <v>5617.802277276407</v>
      </c>
      <c r="Y5" s="33">
        <v>580.53184501955081</v>
      </c>
      <c r="Z5" s="33">
        <v>2675.846776907003</v>
      </c>
      <c r="AA5" s="33">
        <v>2361.4236553498536</v>
      </c>
      <c r="AB5" s="33">
        <v>504.33065950503402</v>
      </c>
      <c r="AC5" s="33">
        <v>5995.4011605309688</v>
      </c>
      <c r="AD5" s="33">
        <v>124.42598162316926</v>
      </c>
      <c r="AE5" s="33">
        <v>4424.4988114759535</v>
      </c>
      <c r="AF5" s="33">
        <v>1446.4763674318458</v>
      </c>
      <c r="AG5" s="33">
        <v>1889.3301345050299</v>
      </c>
      <c r="AH5" s="33">
        <v>5718.5970988601039</v>
      </c>
      <c r="AI5" s="33">
        <v>458.78066628705636</v>
      </c>
      <c r="AJ5" s="33">
        <v>3142.625355056352</v>
      </c>
      <c r="AK5" s="33">
        <v>2117.1910775166953</v>
      </c>
    </row>
    <row r="6" spans="1:37" ht="13.5" customHeight="1" x14ac:dyDescent="0.3">
      <c r="A6" s="29" t="s">
        <v>0</v>
      </c>
      <c r="B6" s="31" t="s">
        <v>41</v>
      </c>
      <c r="C6" s="4"/>
      <c r="D6" s="4"/>
      <c r="E6" s="4"/>
      <c r="F6" s="4"/>
      <c r="G6" s="4"/>
      <c r="H6" s="4">
        <v>1274.0001749999999</v>
      </c>
      <c r="I6" s="4">
        <v>4284.5519614794175</v>
      </c>
      <c r="J6" s="4">
        <v>260.44351138004896</v>
      </c>
      <c r="K6" s="4">
        <v>1935.5258003951039</v>
      </c>
      <c r="L6" s="4">
        <v>2088.5826497042644</v>
      </c>
      <c r="M6" s="4"/>
      <c r="N6" s="4"/>
      <c r="O6" s="4"/>
      <c r="P6" s="4"/>
      <c r="Q6" s="4"/>
      <c r="R6" s="4">
        <v>270.00037500000002</v>
      </c>
      <c r="S6" s="4">
        <v>5110.3882141350923</v>
      </c>
      <c r="T6" s="4">
        <v>81.890341208897979</v>
      </c>
      <c r="U6" s="4">
        <v>2859.0176390873107</v>
      </c>
      <c r="V6" s="4">
        <v>2169.4802338388831</v>
      </c>
      <c r="W6" s="33">
        <v>1544.00055</v>
      </c>
      <c r="X6" s="33">
        <v>4428.9664812188221</v>
      </c>
      <c r="Y6" s="33">
        <v>229.21980300530157</v>
      </c>
      <c r="Z6" s="33">
        <v>2097.0174156385929</v>
      </c>
      <c r="AA6" s="33">
        <v>2102.7292625749274</v>
      </c>
      <c r="AB6" s="33">
        <v>626.59160390001603</v>
      </c>
      <c r="AC6" s="33">
        <v>5190.1189201034576</v>
      </c>
      <c r="AD6" s="33">
        <v>106.59287470665214</v>
      </c>
      <c r="AE6" s="33">
        <v>3789.5778129738092</v>
      </c>
      <c r="AF6" s="33">
        <v>1293.9482324229971</v>
      </c>
      <c r="AG6" s="33">
        <v>2170.5921539000201</v>
      </c>
      <c r="AH6" s="33">
        <v>4648.6907286488167</v>
      </c>
      <c r="AI6" s="33">
        <v>193.82070532316629</v>
      </c>
      <c r="AJ6" s="33">
        <v>2585.6141021042595</v>
      </c>
      <c r="AK6" s="33">
        <v>1869.2559212213916</v>
      </c>
    </row>
    <row r="7" spans="1:37" ht="12.75" customHeight="1" x14ac:dyDescent="0.3">
      <c r="A7" s="29" t="s">
        <v>0</v>
      </c>
      <c r="B7" s="31" t="s">
        <v>42</v>
      </c>
      <c r="C7" s="4"/>
      <c r="D7" s="4"/>
      <c r="E7" s="4"/>
      <c r="F7" s="4"/>
      <c r="G7" s="4"/>
      <c r="H7" s="4">
        <v>1325.0000749999999</v>
      </c>
      <c r="I7" s="4">
        <v>4836.1812526050171</v>
      </c>
      <c r="J7" s="4">
        <v>394.23345818980704</v>
      </c>
      <c r="K7" s="4">
        <v>2170.7361554445765</v>
      </c>
      <c r="L7" s="4">
        <v>2271.2116389706339</v>
      </c>
      <c r="M7" s="4"/>
      <c r="N7" s="4"/>
      <c r="O7" s="4"/>
      <c r="P7" s="4"/>
      <c r="Q7" s="4"/>
      <c r="R7" s="4">
        <v>232.99992499999999</v>
      </c>
      <c r="S7" s="4">
        <v>5192.5715949334854</v>
      </c>
      <c r="T7" s="4">
        <v>81.890341208897979</v>
      </c>
      <c r="U7" s="4">
        <v>2913.0829520414636</v>
      </c>
      <c r="V7" s="4">
        <v>2197.5983016831237</v>
      </c>
      <c r="W7" s="33">
        <v>1558</v>
      </c>
      <c r="X7" s="33">
        <v>4889.4796627675705</v>
      </c>
      <c r="Y7" s="33">
        <v>347.52233955641935</v>
      </c>
      <c r="Z7" s="33">
        <v>2281.7546072616915</v>
      </c>
      <c r="AA7" s="33">
        <v>2260.2027159494601</v>
      </c>
      <c r="AB7" s="33">
        <v>496.28545683238099</v>
      </c>
      <c r="AC7" s="33">
        <v>6037.4988741175039</v>
      </c>
      <c r="AD7" s="33">
        <v>124.73704808842125</v>
      </c>
      <c r="AE7" s="33">
        <v>4449.0963249537181</v>
      </c>
      <c r="AF7" s="33">
        <v>1463.6655010753639</v>
      </c>
      <c r="AG7" s="33">
        <v>2054.2854568323801</v>
      </c>
      <c r="AH7" s="33">
        <v>5166.8243895494434</v>
      </c>
      <c r="AI7" s="33">
        <v>293.70065679855315</v>
      </c>
      <c r="AJ7" s="33">
        <v>2805.35281066582</v>
      </c>
      <c r="AK7" s="33">
        <v>2067.7709220850697</v>
      </c>
    </row>
    <row r="8" spans="1:37" ht="13.5" customHeight="1" x14ac:dyDescent="0.3">
      <c r="A8" s="29" t="s">
        <v>0</v>
      </c>
      <c r="B8" s="31" t="s">
        <v>43</v>
      </c>
      <c r="C8" s="4"/>
      <c r="D8" s="4"/>
      <c r="E8" s="4"/>
      <c r="F8" s="4"/>
      <c r="G8" s="4"/>
      <c r="H8" s="4">
        <v>1159.999675</v>
      </c>
      <c r="I8" s="4">
        <v>4674.4628136863921</v>
      </c>
      <c r="J8" s="4">
        <v>515.765576146439</v>
      </c>
      <c r="K8" s="4">
        <v>1981.3280468621481</v>
      </c>
      <c r="L8" s="4">
        <v>2177.3691906778054</v>
      </c>
      <c r="M8" s="4"/>
      <c r="N8" s="4"/>
      <c r="O8" s="4"/>
      <c r="P8" s="4"/>
      <c r="Q8" s="4"/>
      <c r="R8" s="4">
        <v>260.99984999999998</v>
      </c>
      <c r="S8" s="4">
        <v>4960.0793289653093</v>
      </c>
      <c r="T8" s="4">
        <v>81.890341208897922</v>
      </c>
      <c r="U8" s="4">
        <v>2756.4981306183486</v>
      </c>
      <c r="V8" s="4">
        <v>2121.6908571380627</v>
      </c>
      <c r="W8" s="33">
        <v>1420.9995249999999</v>
      </c>
      <c r="X8" s="33">
        <v>4726.9229773485304</v>
      </c>
      <c r="Y8" s="33">
        <v>436.07422562511283</v>
      </c>
      <c r="Z8" s="33">
        <v>2123.7061912776826</v>
      </c>
      <c r="AA8" s="33">
        <v>2167.1425604457349</v>
      </c>
      <c r="AB8" s="33">
        <v>566.366115268199</v>
      </c>
      <c r="AC8" s="33">
        <v>5572.4119642701571</v>
      </c>
      <c r="AD8" s="33">
        <v>114.34601514876866</v>
      </c>
      <c r="AE8" s="33">
        <v>4081.6331493803013</v>
      </c>
      <c r="AF8" s="33">
        <v>1376.4327997410871</v>
      </c>
      <c r="AG8" s="33">
        <v>1987.3656402682</v>
      </c>
      <c r="AH8" s="33">
        <v>4967.8732601360616</v>
      </c>
      <c r="AI8" s="33">
        <v>344.38704283016119</v>
      </c>
      <c r="AJ8" s="33">
        <v>2681.682772320823</v>
      </c>
      <c r="AK8" s="33">
        <v>1941.8034449850779</v>
      </c>
    </row>
    <row r="9" spans="1:37" ht="12.75" customHeight="1" x14ac:dyDescent="0.3">
      <c r="A9" s="29" t="s">
        <v>0</v>
      </c>
      <c r="B9" s="31" t="s">
        <v>44</v>
      </c>
      <c r="C9" s="4"/>
      <c r="D9" s="4"/>
      <c r="E9" s="4"/>
      <c r="F9" s="4"/>
      <c r="G9" s="4"/>
      <c r="H9" s="4">
        <v>1169.999575</v>
      </c>
      <c r="I9" s="4">
        <v>5132.8132532060072</v>
      </c>
      <c r="J9" s="4">
        <v>664.88583361111694</v>
      </c>
      <c r="K9" s="4">
        <v>2126.2840786264769</v>
      </c>
      <c r="L9" s="4">
        <v>2341.6433409684128</v>
      </c>
      <c r="M9" s="4"/>
      <c r="N9" s="4"/>
      <c r="O9" s="4"/>
      <c r="P9" s="4"/>
      <c r="Q9" s="4"/>
      <c r="R9" s="4">
        <v>241.00004999999999</v>
      </c>
      <c r="S9" s="4">
        <v>5185.7459354689254</v>
      </c>
      <c r="T9" s="4">
        <v>81.890341208898008</v>
      </c>
      <c r="U9" s="4">
        <v>2852.3686128945201</v>
      </c>
      <c r="V9" s="4">
        <v>2251.4869813655068</v>
      </c>
      <c r="W9" s="33">
        <v>1410.9996249999999</v>
      </c>
      <c r="X9" s="33">
        <v>5141.8542046321973</v>
      </c>
      <c r="Y9" s="33">
        <v>565.30966057088006</v>
      </c>
      <c r="Z9" s="33">
        <v>2250.2999932748066</v>
      </c>
      <c r="AA9" s="33">
        <v>2326.24455078651</v>
      </c>
      <c r="AB9" s="33">
        <v>524.10383969246004</v>
      </c>
      <c r="AC9" s="33">
        <v>6055.9487852522589</v>
      </c>
      <c r="AD9" s="33">
        <v>125.45051243443497</v>
      </c>
      <c r="AE9" s="33">
        <v>4467.3110826459251</v>
      </c>
      <c r="AF9" s="33">
        <v>1463.1871901718985</v>
      </c>
      <c r="AG9" s="33">
        <v>1935.10346469246</v>
      </c>
      <c r="AH9" s="33">
        <v>5389.427777976598</v>
      </c>
      <c r="AI9" s="33">
        <v>446.17811403168611</v>
      </c>
      <c r="AJ9" s="33">
        <v>2850.7557548300838</v>
      </c>
      <c r="AK9" s="33">
        <v>2092.4939091148276</v>
      </c>
    </row>
    <row r="10" spans="1:37" ht="13.5" customHeight="1" x14ac:dyDescent="0.3">
      <c r="A10" s="29" t="s">
        <v>0</v>
      </c>
      <c r="B10" s="31" t="s">
        <v>45</v>
      </c>
      <c r="C10" s="4"/>
      <c r="D10" s="4"/>
      <c r="E10" s="4"/>
      <c r="F10" s="4"/>
      <c r="G10" s="4"/>
      <c r="H10" s="4">
        <v>1266.0000500000001</v>
      </c>
      <c r="I10" s="4">
        <v>4877.3681115082272</v>
      </c>
      <c r="J10" s="4">
        <v>777.16693732928081</v>
      </c>
      <c r="K10" s="4">
        <v>1916.236048409786</v>
      </c>
      <c r="L10" s="4">
        <v>2183.9651257691603</v>
      </c>
      <c r="M10" s="4"/>
      <c r="N10" s="4"/>
      <c r="O10" s="4"/>
      <c r="P10" s="4"/>
      <c r="Q10" s="4"/>
      <c r="R10" s="4">
        <v>247.999775</v>
      </c>
      <c r="S10" s="4">
        <v>5030.0624892714604</v>
      </c>
      <c r="T10" s="4">
        <v>81.89034120889788</v>
      </c>
      <c r="U10" s="4">
        <v>2784.1369679513973</v>
      </c>
      <c r="V10" s="4">
        <v>2164.0351801111651</v>
      </c>
      <c r="W10" s="33">
        <v>1513.9998250000001</v>
      </c>
      <c r="X10" s="33">
        <v>4902.3801165981522</v>
      </c>
      <c r="Y10" s="33">
        <v>663.2775982729695</v>
      </c>
      <c r="Z10" s="33">
        <v>2058.4020045839306</v>
      </c>
      <c r="AA10" s="33">
        <v>2180.7005137412525</v>
      </c>
      <c r="AB10" s="33">
        <v>622.26058256251304</v>
      </c>
      <c r="AC10" s="33">
        <v>5684.6741478844824</v>
      </c>
      <c r="AD10" s="33">
        <v>117.74830484728406</v>
      </c>
      <c r="AE10" s="33">
        <v>4181.2792480131557</v>
      </c>
      <c r="AF10" s="33">
        <v>1385.6465950240431</v>
      </c>
      <c r="AG10" s="33">
        <v>2136.26040756251</v>
      </c>
      <c r="AH10" s="33">
        <v>5130.2506224223189</v>
      </c>
      <c r="AI10" s="33">
        <v>504.37310576341127</v>
      </c>
      <c r="AJ10" s="33">
        <v>2676.7642723714157</v>
      </c>
      <c r="AK10" s="33">
        <v>1949.1132442874923</v>
      </c>
    </row>
    <row r="11" spans="1:37" ht="13.5" customHeight="1" x14ac:dyDescent="0.3">
      <c r="A11" s="29" t="s">
        <v>0</v>
      </c>
      <c r="B11" s="31" t="s">
        <v>46</v>
      </c>
      <c r="C11" s="4"/>
      <c r="D11" s="4"/>
      <c r="E11" s="4"/>
      <c r="F11" s="4"/>
      <c r="G11" s="4"/>
      <c r="H11" s="4">
        <v>1336.0003750000001</v>
      </c>
      <c r="I11" s="4">
        <v>5021.7057753033787</v>
      </c>
      <c r="J11" s="4">
        <v>937.80079797838198</v>
      </c>
      <c r="K11" s="4">
        <v>1958.6196408263258</v>
      </c>
      <c r="L11" s="4">
        <v>2125.2853364986709</v>
      </c>
      <c r="M11" s="4"/>
      <c r="N11" s="4"/>
      <c r="O11" s="4"/>
      <c r="P11" s="4"/>
      <c r="Q11" s="4"/>
      <c r="R11" s="4">
        <v>239.99965</v>
      </c>
      <c r="S11" s="4">
        <v>4763.5065164107673</v>
      </c>
      <c r="T11" s="4">
        <v>85.185663318583437</v>
      </c>
      <c r="U11" s="4">
        <v>2576.7468837434012</v>
      </c>
      <c r="V11" s="4">
        <v>2101.5739693487826</v>
      </c>
      <c r="W11" s="33">
        <v>1576.0000250000001</v>
      </c>
      <c r="X11" s="33">
        <v>4982.3861491729886</v>
      </c>
      <c r="Y11" s="33">
        <v>807.96112116552501</v>
      </c>
      <c r="Z11" s="33">
        <v>2052.7505542795557</v>
      </c>
      <c r="AA11" s="33">
        <v>2121.6744737279078</v>
      </c>
      <c r="AB11" s="33">
        <v>676.51724421835297</v>
      </c>
      <c r="AC11" s="33">
        <v>3094.6049476559451</v>
      </c>
      <c r="AD11" s="33">
        <v>55.273238242209352</v>
      </c>
      <c r="AE11" s="33">
        <v>2077.6430657142737</v>
      </c>
      <c r="AF11" s="33">
        <v>961.68864369946198</v>
      </c>
      <c r="AG11" s="33">
        <v>2252.5172692183501</v>
      </c>
      <c r="AH11" s="33">
        <v>4415.413121445351</v>
      </c>
      <c r="AI11" s="33">
        <v>581.90010966059322</v>
      </c>
      <c r="AJ11" s="33">
        <v>2060.2267292539359</v>
      </c>
      <c r="AK11" s="33">
        <v>1773.2862825308214</v>
      </c>
    </row>
    <row r="12" spans="1:37" ht="12.75" customHeight="1" x14ac:dyDescent="0.3">
      <c r="A12" s="29" t="s">
        <v>0</v>
      </c>
      <c r="B12" s="31" t="s">
        <v>47</v>
      </c>
      <c r="C12" s="4"/>
      <c r="D12" s="4"/>
      <c r="E12" s="4"/>
      <c r="F12" s="4"/>
      <c r="G12" s="4"/>
      <c r="H12" s="4">
        <v>1418.0003750000001</v>
      </c>
      <c r="I12" s="4">
        <v>5374.0712901427723</v>
      </c>
      <c r="J12" s="4">
        <v>1065.2070865024427</v>
      </c>
      <c r="K12" s="4">
        <v>2073.6231384237853</v>
      </c>
      <c r="L12" s="4">
        <v>2235.2410652165445</v>
      </c>
      <c r="M12" s="4"/>
      <c r="N12" s="4"/>
      <c r="O12" s="4"/>
      <c r="P12" s="4"/>
      <c r="Q12" s="4"/>
      <c r="R12" s="4">
        <v>260.00047499999999</v>
      </c>
      <c r="S12" s="4">
        <v>4671.1176860660644</v>
      </c>
      <c r="T12" s="4">
        <v>89.655937910656419</v>
      </c>
      <c r="U12" s="4">
        <v>2579.7999987657845</v>
      </c>
      <c r="V12" s="4">
        <v>2001.661749389624</v>
      </c>
      <c r="W12" s="33">
        <v>1678.0008499999999</v>
      </c>
      <c r="X12" s="33">
        <v>5265.1510408098202</v>
      </c>
      <c r="Y12" s="33">
        <v>914.04878284564791</v>
      </c>
      <c r="Z12" s="33">
        <v>2152.053506395845</v>
      </c>
      <c r="AA12" s="33">
        <v>2199.0487515683276</v>
      </c>
      <c r="AB12" s="33">
        <v>574.67946398165998</v>
      </c>
      <c r="AC12" s="33">
        <v>2667.679810612392</v>
      </c>
      <c r="AD12" s="33">
        <v>44.453504676026796</v>
      </c>
      <c r="AE12" s="33">
        <v>1724.9886636526435</v>
      </c>
      <c r="AF12" s="33">
        <v>898.23764228372158</v>
      </c>
      <c r="AG12" s="33">
        <v>2252.6803139816602</v>
      </c>
      <c r="AH12" s="33">
        <v>4602.5122433680126</v>
      </c>
      <c r="AI12" s="33">
        <v>692.20703049499946</v>
      </c>
      <c r="AJ12" s="33">
        <v>2043.1053376788727</v>
      </c>
      <c r="AK12" s="33">
        <v>1867.1998751941398</v>
      </c>
    </row>
    <row r="13" spans="1:37" ht="13.5" customHeight="1" x14ac:dyDescent="0.3">
      <c r="A13" s="29" t="s">
        <v>0</v>
      </c>
      <c r="B13" s="31" t="s">
        <v>48</v>
      </c>
      <c r="C13" s="4"/>
      <c r="D13" s="4"/>
      <c r="E13" s="4"/>
      <c r="F13" s="4"/>
      <c r="G13" s="4"/>
      <c r="H13" s="4">
        <v>1363.0283231926201</v>
      </c>
      <c r="I13" s="4">
        <v>4711.2867059303562</v>
      </c>
      <c r="J13" s="4">
        <v>845.92172452873137</v>
      </c>
      <c r="K13" s="4">
        <v>1686.7617971823147</v>
      </c>
      <c r="L13" s="4">
        <v>2178.6031842193097</v>
      </c>
      <c r="M13" s="4"/>
      <c r="N13" s="4"/>
      <c r="O13" s="4"/>
      <c r="P13" s="4"/>
      <c r="Q13" s="4"/>
      <c r="R13" s="4">
        <v>249.99955</v>
      </c>
      <c r="S13" s="4">
        <v>4848.7496501595388</v>
      </c>
      <c r="T13" s="4">
        <v>81.890341208898008</v>
      </c>
      <c r="U13" s="4">
        <v>2687.64527196772</v>
      </c>
      <c r="V13" s="4">
        <v>2079.2140369829208</v>
      </c>
      <c r="W13" s="33">
        <v>1613.0278731926201</v>
      </c>
      <c r="X13" s="33">
        <v>4732.5917774484024</v>
      </c>
      <c r="Y13" s="33">
        <v>727.50622459209387</v>
      </c>
      <c r="Z13" s="33">
        <v>1841.8864682789974</v>
      </c>
      <c r="AA13" s="33">
        <v>2163.1990845773107</v>
      </c>
      <c r="AB13" s="33">
        <v>642.29679686832799</v>
      </c>
      <c r="AC13" s="33">
        <v>4044.2420583469675</v>
      </c>
      <c r="AD13" s="33">
        <v>78.251256754584205</v>
      </c>
      <c r="AE13" s="33">
        <v>2850.8384702787425</v>
      </c>
      <c r="AF13" s="33">
        <v>1115.1523313136406</v>
      </c>
      <c r="AG13" s="33">
        <v>2255.3246700609502</v>
      </c>
      <c r="AH13" s="33">
        <v>4536.5557806922825</v>
      </c>
      <c r="AI13" s="33">
        <v>542.60407204231865</v>
      </c>
      <c r="AJ13" s="33">
        <v>2129.2271991640146</v>
      </c>
      <c r="AK13" s="33">
        <v>1864.72450948595</v>
      </c>
    </row>
    <row r="14" spans="1:37" ht="12.75" customHeight="1" x14ac:dyDescent="0.3">
      <c r="A14" s="29" t="s">
        <v>0</v>
      </c>
      <c r="B14" s="31" t="s">
        <v>49</v>
      </c>
      <c r="C14" s="4"/>
      <c r="D14" s="4"/>
      <c r="E14" s="4"/>
      <c r="F14" s="4"/>
      <c r="G14" s="4"/>
      <c r="H14" s="4">
        <v>1477.0003999999999</v>
      </c>
      <c r="I14" s="4">
        <v>4656.2649763121954</v>
      </c>
      <c r="J14" s="4">
        <v>432.69820744132653</v>
      </c>
      <c r="K14" s="4">
        <v>1831.0228444474185</v>
      </c>
      <c r="L14" s="4">
        <v>2392.5439244234503</v>
      </c>
      <c r="M14" s="4"/>
      <c r="N14" s="4"/>
      <c r="O14" s="4"/>
      <c r="P14" s="4"/>
      <c r="Q14" s="4"/>
      <c r="R14" s="4">
        <v>249.99955</v>
      </c>
      <c r="S14" s="4">
        <v>4980.6890927781533</v>
      </c>
      <c r="T14" s="4">
        <v>82.149104983198015</v>
      </c>
      <c r="U14" s="4">
        <v>2749.9549728640882</v>
      </c>
      <c r="V14" s="4">
        <v>2148.5850149308671</v>
      </c>
      <c r="W14" s="33">
        <v>1726.9999499999999</v>
      </c>
      <c r="X14" s="33">
        <v>4703.2284305529656</v>
      </c>
      <c r="Y14" s="33">
        <v>381.95291479239739</v>
      </c>
      <c r="Z14" s="33">
        <v>1964.0469470738892</v>
      </c>
      <c r="AA14" s="33">
        <v>2357.228568686679</v>
      </c>
      <c r="AB14" s="33">
        <v>248.67890270003801</v>
      </c>
      <c r="AC14" s="33">
        <v>4894.8878939225906</v>
      </c>
      <c r="AD14" s="33">
        <v>95.21988915697699</v>
      </c>
      <c r="AE14" s="33">
        <v>3498.0812622221606</v>
      </c>
      <c r="AF14" s="33">
        <v>1301.5867425434537</v>
      </c>
      <c r="AG14" s="33">
        <v>1975.6788527000399</v>
      </c>
      <c r="AH14" s="33">
        <v>4727.3526271437731</v>
      </c>
      <c r="AI14" s="33">
        <v>345.86179902961499</v>
      </c>
      <c r="AJ14" s="33">
        <v>2157.1360058922937</v>
      </c>
      <c r="AK14" s="33">
        <v>2224.3548222218642</v>
      </c>
    </row>
    <row r="15" spans="1:37" ht="13.5" customHeight="1" x14ac:dyDescent="0.3">
      <c r="A15" s="29" t="s">
        <v>0</v>
      </c>
      <c r="B15" s="31" t="s">
        <v>50</v>
      </c>
      <c r="C15" s="4"/>
      <c r="D15" s="4"/>
      <c r="E15" s="4"/>
      <c r="F15" s="4"/>
      <c r="G15" s="4"/>
      <c r="H15" s="4">
        <v>1641.0003999999999</v>
      </c>
      <c r="I15" s="4">
        <v>3285.224655233174</v>
      </c>
      <c r="J15" s="4">
        <v>416.92123188639835</v>
      </c>
      <c r="K15" s="4">
        <v>762.25315440732788</v>
      </c>
      <c r="L15" s="4">
        <v>2106.050268939448</v>
      </c>
      <c r="M15" s="4"/>
      <c r="N15" s="4"/>
      <c r="O15" s="4"/>
      <c r="P15" s="4"/>
      <c r="Q15" s="4"/>
      <c r="R15" s="4">
        <v>234.99969999999999</v>
      </c>
      <c r="S15" s="4">
        <v>4447.3091341166464</v>
      </c>
      <c r="T15" s="4">
        <v>90.676755669502711</v>
      </c>
      <c r="U15" s="4">
        <v>2287.9985579754498</v>
      </c>
      <c r="V15" s="4">
        <v>2068.633820471694</v>
      </c>
      <c r="W15" s="33">
        <v>1876.0001</v>
      </c>
      <c r="X15" s="33">
        <v>3430.7947455078347</v>
      </c>
      <c r="Y15" s="33">
        <v>376.05377455650398</v>
      </c>
      <c r="Z15" s="33">
        <v>953.37772423804768</v>
      </c>
      <c r="AA15" s="33">
        <v>2101.3632467132829</v>
      </c>
      <c r="AB15" s="33">
        <v>711.891199999994</v>
      </c>
      <c r="AC15" s="33">
        <v>5231.7834273637955</v>
      </c>
      <c r="AD15" s="33">
        <v>108.15682770023513</v>
      </c>
      <c r="AE15" s="33">
        <v>3831.5376530797535</v>
      </c>
      <c r="AF15" s="33">
        <v>1292.0889465838068</v>
      </c>
      <c r="AG15" s="33">
        <v>2587.8912999999902</v>
      </c>
      <c r="AH15" s="33">
        <v>3926.2204977072606</v>
      </c>
      <c r="AI15" s="33">
        <v>302.35922680875115</v>
      </c>
      <c r="AJ15" s="33">
        <v>1745.1175958219212</v>
      </c>
      <c r="AK15" s="33">
        <v>1878.7436750765883</v>
      </c>
    </row>
    <row r="16" spans="1:37" ht="13.5" customHeight="1" x14ac:dyDescent="0.3">
      <c r="A16" s="51" t="s">
        <v>1</v>
      </c>
      <c r="B16" s="51" t="s">
        <v>1</v>
      </c>
      <c r="C16" s="33">
        <v>433.256095846714</v>
      </c>
      <c r="D16" s="33">
        <v>6475.6305613481791</v>
      </c>
      <c r="E16" s="33">
        <v>1866.9781265133922</v>
      </c>
      <c r="F16" s="33">
        <v>2212.5734784805054</v>
      </c>
      <c r="G16" s="33">
        <v>2396.0789563542808</v>
      </c>
      <c r="H16" s="33">
        <v>15464.029173192601</v>
      </c>
      <c r="I16" s="33">
        <v>4853.686351103398</v>
      </c>
      <c r="J16" s="33">
        <v>687.50655307648492</v>
      </c>
      <c r="K16" s="33">
        <v>1963.1393933372071</v>
      </c>
      <c r="L16" s="33">
        <v>2203.0404046897061</v>
      </c>
      <c r="M16" s="33"/>
      <c r="N16" s="33"/>
      <c r="O16" s="33"/>
      <c r="P16" s="33"/>
      <c r="Q16" s="33"/>
      <c r="R16" s="33">
        <v>2737.99845</v>
      </c>
      <c r="S16" s="33">
        <v>4943.5938847384168</v>
      </c>
      <c r="T16" s="33">
        <v>83.694370927587713</v>
      </c>
      <c r="U16" s="33">
        <v>2726.4232273089378</v>
      </c>
      <c r="V16" s="33">
        <v>2133.4762865018915</v>
      </c>
      <c r="W16" s="33">
        <v>18635.2837190393</v>
      </c>
      <c r="X16" s="33">
        <v>4904.6050233519127</v>
      </c>
      <c r="Y16" s="33">
        <v>626.21295610385857</v>
      </c>
      <c r="Z16" s="33">
        <v>2081.0844069663444</v>
      </c>
      <c r="AA16" s="33">
        <v>2197.3076602817096</v>
      </c>
      <c r="AB16" s="33">
        <v>6661.4418405275301</v>
      </c>
      <c r="AC16" s="33">
        <v>4884.6923605311886</v>
      </c>
      <c r="AD16" s="33">
        <v>98.138998304824284</v>
      </c>
      <c r="AE16" s="33">
        <v>3528.2480182874683</v>
      </c>
      <c r="AF16" s="33">
        <v>1258.3053439388955</v>
      </c>
      <c r="AG16" s="33">
        <v>25296.725559566901</v>
      </c>
      <c r="AH16" s="33">
        <v>4899.3613784794588</v>
      </c>
      <c r="AI16" s="33">
        <v>487.15409059606179</v>
      </c>
      <c r="AJ16" s="33">
        <v>2462.1691528099686</v>
      </c>
      <c r="AK16" s="33">
        <v>1950.0381350734283</v>
      </c>
    </row>
    <row r="17" spans="1:37" ht="12.75" customHeight="1" x14ac:dyDescent="0.3">
      <c r="A17" s="29" t="s">
        <v>2</v>
      </c>
      <c r="B17" s="31" t="s">
        <v>39</v>
      </c>
      <c r="C17" s="4"/>
      <c r="D17" s="4"/>
      <c r="E17" s="4"/>
      <c r="F17" s="4"/>
      <c r="G17" s="4"/>
      <c r="H17" s="4">
        <v>1816.9385749999999</v>
      </c>
      <c r="I17" s="4">
        <v>3350.5816613590468</v>
      </c>
      <c r="J17" s="4">
        <v>334.02595268815685</v>
      </c>
      <c r="K17" s="4">
        <v>1057.3105824579079</v>
      </c>
      <c r="L17" s="4">
        <v>1959.2451262129823</v>
      </c>
      <c r="M17" s="4">
        <v>453.906131818289</v>
      </c>
      <c r="N17" s="4">
        <v>6630.1340968674531</v>
      </c>
      <c r="O17" s="4">
        <v>81.890341208897922</v>
      </c>
      <c r="P17" s="4">
        <v>4156.1205759634722</v>
      </c>
      <c r="Q17" s="4">
        <v>2392.1231796950829</v>
      </c>
      <c r="R17" s="4">
        <v>109.92715</v>
      </c>
      <c r="S17" s="4">
        <v>7069.8082039148267</v>
      </c>
      <c r="T17" s="4">
        <v>81.890341208897979</v>
      </c>
      <c r="U17" s="4">
        <v>4243.0594032839235</v>
      </c>
      <c r="V17" s="4">
        <v>2744.8584594220056</v>
      </c>
      <c r="W17" s="33">
        <v>2380.77185681829</v>
      </c>
      <c r="X17" s="33">
        <v>4147.5723216317938</v>
      </c>
      <c r="Y17" s="33">
        <v>274.31319655973039</v>
      </c>
      <c r="Z17" s="33">
        <v>1795.2095713299514</v>
      </c>
      <c r="AA17" s="33">
        <v>2078.0495537421116</v>
      </c>
      <c r="AB17" s="33">
        <v>424.13167499999997</v>
      </c>
      <c r="AC17" s="33">
        <v>4910.9542325019602</v>
      </c>
      <c r="AD17" s="33">
        <v>98.634911731108332</v>
      </c>
      <c r="AE17" s="33">
        <v>3548.7803087316101</v>
      </c>
      <c r="AF17" s="33">
        <v>1263.5390120392419</v>
      </c>
      <c r="AG17" s="33">
        <v>2804.90353181829</v>
      </c>
      <c r="AH17" s="33">
        <v>4263.0039023793051</v>
      </c>
      <c r="AI17" s="33">
        <v>247.74874457047116</v>
      </c>
      <c r="AJ17" s="33">
        <v>2060.3683854026108</v>
      </c>
      <c r="AK17" s="33">
        <v>1954.8867724062236</v>
      </c>
    </row>
    <row r="18" spans="1:37" ht="13.5" customHeight="1" x14ac:dyDescent="0.3">
      <c r="A18" s="29" t="s">
        <v>2</v>
      </c>
      <c r="B18" s="31" t="s">
        <v>40</v>
      </c>
      <c r="C18" s="4"/>
      <c r="D18" s="4"/>
      <c r="E18" s="4"/>
      <c r="F18" s="4"/>
      <c r="G18" s="4"/>
      <c r="H18" s="4">
        <v>1749.4110801024499</v>
      </c>
      <c r="I18" s="4">
        <v>2787.2012994199313</v>
      </c>
      <c r="J18" s="4">
        <v>479.44228017882585</v>
      </c>
      <c r="K18" s="4">
        <v>1062.6990405405454</v>
      </c>
      <c r="L18" s="4">
        <v>1245.0599787005601</v>
      </c>
      <c r="M18" s="4">
        <v>469.251283494034</v>
      </c>
      <c r="N18" s="4">
        <v>5513.9908490518092</v>
      </c>
      <c r="O18" s="4">
        <v>50.83917232595757</v>
      </c>
      <c r="P18" s="4">
        <v>3983.7652929606966</v>
      </c>
      <c r="Q18" s="4">
        <v>1479.386383765155</v>
      </c>
      <c r="R18" s="4"/>
      <c r="S18" s="4"/>
      <c r="T18" s="4"/>
      <c r="U18" s="4"/>
      <c r="V18" s="4"/>
      <c r="W18" s="33">
        <v>2218.6623635964902</v>
      </c>
      <c r="X18" s="33">
        <v>3363.9224431944663</v>
      </c>
      <c r="Y18" s="33">
        <v>388.79191274596076</v>
      </c>
      <c r="Z18" s="33">
        <v>1680.5100741659212</v>
      </c>
      <c r="AA18" s="33">
        <v>1294.620456282584</v>
      </c>
      <c r="AB18" s="33">
        <v>424.13167499999997</v>
      </c>
      <c r="AC18" s="33">
        <v>4975.9720928417364</v>
      </c>
      <c r="AD18" s="33">
        <v>98.63491173110846</v>
      </c>
      <c r="AE18" s="33">
        <v>3582.0853491213575</v>
      </c>
      <c r="AF18" s="33">
        <v>1295.2518319892704</v>
      </c>
      <c r="AG18" s="33">
        <v>2642.7940385964898</v>
      </c>
      <c r="AH18" s="33">
        <v>3622.6339841252775</v>
      </c>
      <c r="AI18" s="33">
        <v>342.22575092778061</v>
      </c>
      <c r="AJ18" s="33">
        <v>1985.6864498980815</v>
      </c>
      <c r="AK18" s="33">
        <v>1294.7217832994156</v>
      </c>
    </row>
    <row r="19" spans="1:37" ht="12.75" customHeight="1" x14ac:dyDescent="0.3">
      <c r="A19" s="29" t="s">
        <v>2</v>
      </c>
      <c r="B19" s="31" t="s">
        <v>41</v>
      </c>
      <c r="C19" s="4"/>
      <c r="D19" s="4"/>
      <c r="E19" s="4"/>
      <c r="F19" s="4"/>
      <c r="G19" s="4"/>
      <c r="H19" s="4">
        <v>1704.8005000000001</v>
      </c>
      <c r="I19" s="4">
        <v>3318.6002279988716</v>
      </c>
      <c r="J19" s="4">
        <v>716.98696683305081</v>
      </c>
      <c r="K19" s="4">
        <v>1188.6906258958329</v>
      </c>
      <c r="L19" s="4">
        <v>1412.9226352699879</v>
      </c>
      <c r="M19" s="4">
        <v>590.08574177937703</v>
      </c>
      <c r="N19" s="4">
        <v>5507.7900990141625</v>
      </c>
      <c r="O19" s="4">
        <v>54.453495088359482</v>
      </c>
      <c r="P19" s="4">
        <v>3861.8810460500949</v>
      </c>
      <c r="Q19" s="4">
        <v>1591.4555578757079</v>
      </c>
      <c r="R19" s="4"/>
      <c r="S19" s="4"/>
      <c r="T19" s="4"/>
      <c r="U19" s="4"/>
      <c r="V19" s="4"/>
      <c r="W19" s="33">
        <v>2294.8862417793798</v>
      </c>
      <c r="X19" s="33">
        <v>3881.508186317682</v>
      </c>
      <c r="Y19" s="33">
        <v>546.62926107374426</v>
      </c>
      <c r="Z19" s="33">
        <v>1876.0499918098401</v>
      </c>
      <c r="AA19" s="33">
        <v>1458.8289334340973</v>
      </c>
      <c r="AB19" s="33">
        <v>424.131586065362</v>
      </c>
      <c r="AC19" s="33">
        <v>4975.3525173618964</v>
      </c>
      <c r="AD19" s="33">
        <v>98.634899321683022</v>
      </c>
      <c r="AE19" s="33">
        <v>3581.7678206753594</v>
      </c>
      <c r="AF19" s="33">
        <v>1294.9497973648545</v>
      </c>
      <c r="AG19" s="33">
        <v>2719.0178278447402</v>
      </c>
      <c r="AH19" s="33">
        <v>4052.1337431946408</v>
      </c>
      <c r="AI19" s="33">
        <v>476.74793949783759</v>
      </c>
      <c r="AJ19" s="33">
        <v>2142.1198942312408</v>
      </c>
      <c r="AK19" s="33">
        <v>1433.2659094655621</v>
      </c>
    </row>
    <row r="20" spans="1:37" ht="13.5" customHeight="1" x14ac:dyDescent="0.3">
      <c r="A20" s="29" t="s">
        <v>2</v>
      </c>
      <c r="B20" s="31" t="s">
        <v>42</v>
      </c>
      <c r="C20" s="4"/>
      <c r="D20" s="4"/>
      <c r="E20" s="4"/>
      <c r="F20" s="4"/>
      <c r="G20" s="4"/>
      <c r="H20" s="4">
        <v>1791.9876698984399</v>
      </c>
      <c r="I20" s="4">
        <v>3011.9485659882839</v>
      </c>
      <c r="J20" s="4">
        <v>333.58634145353471</v>
      </c>
      <c r="K20" s="4">
        <v>888.19936848053726</v>
      </c>
      <c r="L20" s="4">
        <v>1790.1628560542124</v>
      </c>
      <c r="M20" s="4">
        <v>471.19569609125199</v>
      </c>
      <c r="N20" s="4">
        <v>5916.4326916407899</v>
      </c>
      <c r="O20" s="4">
        <v>80.296056346101807</v>
      </c>
      <c r="P20" s="4">
        <v>3782.704897823347</v>
      </c>
      <c r="Q20" s="4">
        <v>2053.4317374713419</v>
      </c>
      <c r="R20" s="4"/>
      <c r="S20" s="4"/>
      <c r="T20" s="4"/>
      <c r="U20" s="4"/>
      <c r="V20" s="4"/>
      <c r="W20" s="33">
        <v>2263.1833659897002</v>
      </c>
      <c r="X20" s="33">
        <v>3616.6633407340501</v>
      </c>
      <c r="Y20" s="33">
        <v>280.85120120909562</v>
      </c>
      <c r="Z20" s="33">
        <v>1490.8365954213753</v>
      </c>
      <c r="AA20" s="33">
        <v>1844.9755441035795</v>
      </c>
      <c r="AB20" s="33">
        <v>429.396075</v>
      </c>
      <c r="AC20" s="33">
        <v>4889.6949418362028</v>
      </c>
      <c r="AD20" s="33">
        <v>98.634911146621988</v>
      </c>
      <c r="AE20" s="33">
        <v>3537.8903470630307</v>
      </c>
      <c r="AF20" s="33">
        <v>1253.1696836265503</v>
      </c>
      <c r="AG20" s="33">
        <v>2692.5794409896898</v>
      </c>
      <c r="AH20" s="33">
        <v>3819.6786221191392</v>
      </c>
      <c r="AI20" s="33">
        <v>251.79246349358797</v>
      </c>
      <c r="AJ20" s="33">
        <v>1817.2881878564208</v>
      </c>
      <c r="AK20" s="33">
        <v>1750.5979707691306</v>
      </c>
    </row>
    <row r="21" spans="1:37" ht="13.5" customHeight="1" x14ac:dyDescent="0.3">
      <c r="A21" s="29" t="s">
        <v>2</v>
      </c>
      <c r="B21" s="31" t="s">
        <v>43</v>
      </c>
      <c r="C21" s="4"/>
      <c r="D21" s="4"/>
      <c r="E21" s="4"/>
      <c r="F21" s="4"/>
      <c r="G21" s="4"/>
      <c r="H21" s="4">
        <v>1683.6976927171399</v>
      </c>
      <c r="I21" s="4">
        <v>3713.4205004325822</v>
      </c>
      <c r="J21" s="4">
        <v>351.91869314087035</v>
      </c>
      <c r="K21" s="4">
        <v>857.94887420507405</v>
      </c>
      <c r="L21" s="4">
        <v>2503.5529330866379</v>
      </c>
      <c r="M21" s="4">
        <v>356.79372309677899</v>
      </c>
      <c r="N21" s="4">
        <v>6380.5439304256497</v>
      </c>
      <c r="O21" s="4">
        <v>84.385155336055064</v>
      </c>
      <c r="P21" s="4">
        <v>3717.3176336065198</v>
      </c>
      <c r="Q21" s="4">
        <v>2578.8411414830739</v>
      </c>
      <c r="R21" s="4"/>
      <c r="S21" s="4"/>
      <c r="T21" s="4"/>
      <c r="U21" s="4"/>
      <c r="V21" s="4"/>
      <c r="W21" s="33">
        <v>2040.49141581392</v>
      </c>
      <c r="X21" s="33">
        <v>4179.7850688746876</v>
      </c>
      <c r="Y21" s="33">
        <v>305.13864483149888</v>
      </c>
      <c r="Z21" s="33">
        <v>1357.9288385738621</v>
      </c>
      <c r="AA21" s="33">
        <v>2516.7175854693269</v>
      </c>
      <c r="AB21" s="33">
        <v>429.396075</v>
      </c>
      <c r="AC21" s="33">
        <v>5033.8576941746587</v>
      </c>
      <c r="AD21" s="33">
        <v>98.634911146622059</v>
      </c>
      <c r="AE21" s="33">
        <v>3611.7369219001303</v>
      </c>
      <c r="AF21" s="33">
        <v>1323.4858611279062</v>
      </c>
      <c r="AG21" s="33">
        <v>2469.8874908139201</v>
      </c>
      <c r="AH21" s="33">
        <v>4328.2677161340171</v>
      </c>
      <c r="AI21" s="33">
        <v>269.23745781511747</v>
      </c>
      <c r="AJ21" s="33">
        <v>1749.7589718827505</v>
      </c>
      <c r="AK21" s="33">
        <v>2309.2712864361492</v>
      </c>
    </row>
    <row r="22" spans="1:37" ht="12.75" customHeight="1" x14ac:dyDescent="0.3">
      <c r="A22" s="29" t="s">
        <v>2</v>
      </c>
      <c r="B22" s="31" t="s">
        <v>44</v>
      </c>
      <c r="C22" s="4"/>
      <c r="D22" s="4"/>
      <c r="E22" s="4"/>
      <c r="F22" s="4"/>
      <c r="G22" s="4"/>
      <c r="H22" s="4">
        <v>1639.699457658</v>
      </c>
      <c r="I22" s="4">
        <v>3818.4019004493407</v>
      </c>
      <c r="J22" s="4">
        <v>487.30378798999283</v>
      </c>
      <c r="K22" s="4">
        <v>787.18360270425558</v>
      </c>
      <c r="L22" s="4">
        <v>2543.9145097550927</v>
      </c>
      <c r="M22" s="4">
        <v>341.920420600071</v>
      </c>
      <c r="N22" s="4">
        <v>6558.2600295867651</v>
      </c>
      <c r="O22" s="4">
        <v>86.663409410371543</v>
      </c>
      <c r="P22" s="4">
        <v>3680.41663047678</v>
      </c>
      <c r="Q22" s="4">
        <v>2791.1799896996131</v>
      </c>
      <c r="R22" s="4"/>
      <c r="S22" s="4"/>
      <c r="T22" s="4"/>
      <c r="U22" s="4"/>
      <c r="V22" s="4"/>
      <c r="W22" s="33">
        <v>1981.61987825807</v>
      </c>
      <c r="X22" s="33">
        <v>4291.1532359490075</v>
      </c>
      <c r="Y22" s="33">
        <v>418.17492616522497</v>
      </c>
      <c r="Z22" s="33">
        <v>1286.3991508544864</v>
      </c>
      <c r="AA22" s="33">
        <v>2586.5791589292962</v>
      </c>
      <c r="AB22" s="33">
        <v>429.396075</v>
      </c>
      <c r="AC22" s="33">
        <v>5029.1048977870769</v>
      </c>
      <c r="AD22" s="33">
        <v>98.634911146621931</v>
      </c>
      <c r="AE22" s="33">
        <v>3609.3023281619544</v>
      </c>
      <c r="AF22" s="33">
        <v>1321.1676584785002</v>
      </c>
      <c r="AG22" s="33">
        <v>2411.0159532580701</v>
      </c>
      <c r="AH22" s="33">
        <v>4422.5806314022784</v>
      </c>
      <c r="AI22" s="33">
        <v>361.26562696750932</v>
      </c>
      <c r="AJ22" s="33">
        <v>1700.1025548460609</v>
      </c>
      <c r="AK22" s="33">
        <v>2361.2124495887083</v>
      </c>
    </row>
    <row r="23" spans="1:37" ht="13.5" customHeight="1" x14ac:dyDescent="0.3">
      <c r="A23" s="29" t="s">
        <v>2</v>
      </c>
      <c r="B23" s="31" t="s">
        <v>45</v>
      </c>
      <c r="C23" s="4"/>
      <c r="D23" s="4"/>
      <c r="E23" s="4"/>
      <c r="F23" s="4"/>
      <c r="G23" s="4"/>
      <c r="H23" s="4">
        <v>1639.8688</v>
      </c>
      <c r="I23" s="4">
        <v>3418.9596730634521</v>
      </c>
      <c r="J23" s="4">
        <v>336.81660283342342</v>
      </c>
      <c r="K23" s="4">
        <v>733.76739356320115</v>
      </c>
      <c r="L23" s="4">
        <v>2348.3756766668271</v>
      </c>
      <c r="M23" s="4">
        <v>471.67940041900198</v>
      </c>
      <c r="N23" s="4">
        <v>6568.8316583266123</v>
      </c>
      <c r="O23" s="4">
        <v>91.01028783604454</v>
      </c>
      <c r="P23" s="4">
        <v>3660.6915063883716</v>
      </c>
      <c r="Q23" s="4">
        <v>2817.1298641021972</v>
      </c>
      <c r="R23" s="4"/>
      <c r="S23" s="4"/>
      <c r="T23" s="4"/>
      <c r="U23" s="4"/>
      <c r="V23" s="4"/>
      <c r="W23" s="33">
        <v>2111.5482004189998</v>
      </c>
      <c r="X23" s="33">
        <v>4122.5807076724286</v>
      </c>
      <c r="Y23" s="33">
        <v>281.90818290999408</v>
      </c>
      <c r="Z23" s="33">
        <v>1387.5861462373505</v>
      </c>
      <c r="AA23" s="33">
        <v>2453.086378525084</v>
      </c>
      <c r="AB23" s="33">
        <v>440.50400000000002</v>
      </c>
      <c r="AC23" s="33">
        <v>5011.849016467494</v>
      </c>
      <c r="AD23" s="33">
        <v>98.634864056887622</v>
      </c>
      <c r="AE23" s="33">
        <v>3600.4625125140642</v>
      </c>
      <c r="AF23" s="33">
        <v>1312.7516398965417</v>
      </c>
      <c r="AG23" s="33">
        <v>2552.0522004190002</v>
      </c>
      <c r="AH23" s="33">
        <v>4276.0753137126758</v>
      </c>
      <c r="AI23" s="33">
        <v>250.27378686009592</v>
      </c>
      <c r="AJ23" s="33">
        <v>1769.545767083004</v>
      </c>
      <c r="AK23" s="33">
        <v>2256.2557597695754</v>
      </c>
    </row>
    <row r="24" spans="1:37" ht="12.75" customHeight="1" x14ac:dyDescent="0.3">
      <c r="A24" s="29" t="s">
        <v>2</v>
      </c>
      <c r="B24" s="31" t="s">
        <v>46</v>
      </c>
      <c r="C24" s="4"/>
      <c r="D24" s="4"/>
      <c r="E24" s="4"/>
      <c r="F24" s="4"/>
      <c r="G24" s="4"/>
      <c r="H24" s="4">
        <v>1383.4722732524899</v>
      </c>
      <c r="I24" s="4">
        <v>4231.9441085507051</v>
      </c>
      <c r="J24" s="4">
        <v>742.15558095624806</v>
      </c>
      <c r="K24" s="4">
        <v>998.10793635309471</v>
      </c>
      <c r="L24" s="4">
        <v>2491.680591241362</v>
      </c>
      <c r="M24" s="4">
        <v>385.81517266996798</v>
      </c>
      <c r="N24" s="4">
        <v>6495.9299675699231</v>
      </c>
      <c r="O24" s="4">
        <v>125.01616910030263</v>
      </c>
      <c r="P24" s="4">
        <v>3527.550971093211</v>
      </c>
      <c r="Q24" s="4">
        <v>2843.3628273764093</v>
      </c>
      <c r="R24" s="4"/>
      <c r="S24" s="4"/>
      <c r="T24" s="4"/>
      <c r="U24" s="4"/>
      <c r="V24" s="4"/>
      <c r="W24" s="33">
        <v>1769.2874459224499</v>
      </c>
      <c r="X24" s="33">
        <v>4725.6344340729429</v>
      </c>
      <c r="Y24" s="33">
        <v>607.58064272595675</v>
      </c>
      <c r="Z24" s="33">
        <v>1549.6845066024255</v>
      </c>
      <c r="AA24" s="33">
        <v>2568.3692847445609</v>
      </c>
      <c r="AB24" s="33">
        <v>440.50384605063999</v>
      </c>
      <c r="AC24" s="33">
        <v>5027.0390312263416</v>
      </c>
      <c r="AD24" s="33">
        <v>98.634843374061376</v>
      </c>
      <c r="AE24" s="33">
        <v>3608.2432565911176</v>
      </c>
      <c r="AF24" s="33">
        <v>1320.1609312611629</v>
      </c>
      <c r="AG24" s="33">
        <v>2209.7912919730902</v>
      </c>
      <c r="AH24" s="33">
        <v>4785.71697885701</v>
      </c>
      <c r="AI24" s="33">
        <v>506.12645433260462</v>
      </c>
      <c r="AJ24" s="33">
        <v>1960.0413805683577</v>
      </c>
      <c r="AK24" s="33">
        <v>2319.5491439560487</v>
      </c>
    </row>
    <row r="25" spans="1:37" ht="13.5" customHeight="1" x14ac:dyDescent="0.3">
      <c r="A25" s="29" t="s">
        <v>2</v>
      </c>
      <c r="B25" s="31" t="s">
        <v>47</v>
      </c>
      <c r="C25" s="4"/>
      <c r="D25" s="4"/>
      <c r="E25" s="4"/>
      <c r="F25" s="4"/>
      <c r="G25" s="4"/>
      <c r="H25" s="4">
        <v>1478.69779983999</v>
      </c>
      <c r="I25" s="4">
        <v>3721.2726462235446</v>
      </c>
      <c r="J25" s="4">
        <v>651.64712230859436</v>
      </c>
      <c r="K25" s="4">
        <v>716.31434817267382</v>
      </c>
      <c r="L25" s="4">
        <v>2353.3111757422762</v>
      </c>
      <c r="M25" s="4">
        <v>390.57613971742001</v>
      </c>
      <c r="N25" s="4">
        <v>6592.2126645343969</v>
      </c>
      <c r="O25" s="4">
        <v>218.15019094172598</v>
      </c>
      <c r="P25" s="4">
        <v>3511.8260642731502</v>
      </c>
      <c r="Q25" s="4">
        <v>2862.2364093195215</v>
      </c>
      <c r="R25" s="4"/>
      <c r="S25" s="4"/>
      <c r="T25" s="4"/>
      <c r="U25" s="4"/>
      <c r="V25" s="4"/>
      <c r="W25" s="33">
        <v>1869.2739395574099</v>
      </c>
      <c r="X25" s="33">
        <v>4321.1422779467612</v>
      </c>
      <c r="Y25" s="33">
        <v>561.06994448055104</v>
      </c>
      <c r="Z25" s="33">
        <v>1300.4235851889794</v>
      </c>
      <c r="AA25" s="33">
        <v>2459.6487482772309</v>
      </c>
      <c r="AB25" s="33">
        <v>440.50399983999398</v>
      </c>
      <c r="AC25" s="33">
        <v>4918.3876499540784</v>
      </c>
      <c r="AD25" s="33">
        <v>98.634864092715091</v>
      </c>
      <c r="AE25" s="33">
        <v>3552.5874433965232</v>
      </c>
      <c r="AF25" s="33">
        <v>1267.1653424648403</v>
      </c>
      <c r="AG25" s="33">
        <v>2309.7779393974101</v>
      </c>
      <c r="AH25" s="33">
        <v>4435.0445586672122</v>
      </c>
      <c r="AI25" s="33">
        <v>472.87769919903508</v>
      </c>
      <c r="AJ25" s="33">
        <v>1729.9398477325203</v>
      </c>
      <c r="AK25" s="33">
        <v>2232.227011735657</v>
      </c>
    </row>
    <row r="26" spans="1:37" ht="13.5" customHeight="1" x14ac:dyDescent="0.3">
      <c r="A26" s="29" t="s">
        <v>2</v>
      </c>
      <c r="B26" s="31" t="s">
        <v>48</v>
      </c>
      <c r="C26" s="4"/>
      <c r="D26" s="4"/>
      <c r="E26" s="4"/>
      <c r="F26" s="4"/>
      <c r="G26" s="4"/>
      <c r="H26" s="4">
        <v>1692.78361641993</v>
      </c>
      <c r="I26" s="4">
        <v>3625.6328557544234</v>
      </c>
      <c r="J26" s="4">
        <v>764.22630614057402</v>
      </c>
      <c r="K26" s="4">
        <v>697.47388473680849</v>
      </c>
      <c r="L26" s="4">
        <v>2163.9326648770407</v>
      </c>
      <c r="M26" s="4">
        <v>336.24412006232302</v>
      </c>
      <c r="N26" s="4">
        <v>6470.3262152543348</v>
      </c>
      <c r="O26" s="4">
        <v>112.77671433678749</v>
      </c>
      <c r="P26" s="4">
        <v>3454.2546610936315</v>
      </c>
      <c r="Q26" s="4">
        <v>2903.2948398239159</v>
      </c>
      <c r="R26" s="4"/>
      <c r="S26" s="4"/>
      <c r="T26" s="4"/>
      <c r="U26" s="4"/>
      <c r="V26" s="4"/>
      <c r="W26" s="33">
        <v>2029.02773648226</v>
      </c>
      <c r="X26" s="33">
        <v>4097.0465275904189</v>
      </c>
      <c r="Y26" s="33">
        <v>656.27012061262951</v>
      </c>
      <c r="Z26" s="33">
        <v>1154.3189587020818</v>
      </c>
      <c r="AA26" s="33">
        <v>2286.4574482757084</v>
      </c>
      <c r="AB26" s="33">
        <v>440.52746085379698</v>
      </c>
      <c r="AC26" s="33">
        <v>4852.0387457769775</v>
      </c>
      <c r="AD26" s="33">
        <v>98.634711022798811</v>
      </c>
      <c r="AE26" s="33">
        <v>3518.5986795672784</v>
      </c>
      <c r="AF26" s="33">
        <v>1234.8053551869014</v>
      </c>
      <c r="AG26" s="33">
        <v>2469.5551973360498</v>
      </c>
      <c r="AH26" s="33">
        <v>4231.7245478269688</v>
      </c>
      <c r="AI26" s="33">
        <v>556.79726358405799</v>
      </c>
      <c r="AJ26" s="33">
        <v>1576.0670302999079</v>
      </c>
      <c r="AK26" s="33">
        <v>2098.8602539430035</v>
      </c>
    </row>
    <row r="27" spans="1:37" ht="12.75" customHeight="1" x14ac:dyDescent="0.3">
      <c r="A27" s="29" t="s">
        <v>2</v>
      </c>
      <c r="B27" s="31" t="s">
        <v>49</v>
      </c>
      <c r="C27" s="4"/>
      <c r="D27" s="4"/>
      <c r="E27" s="4"/>
      <c r="F27" s="4"/>
      <c r="G27" s="4"/>
      <c r="H27" s="4">
        <v>1720.40723057278</v>
      </c>
      <c r="I27" s="4">
        <v>3868.1686750552462</v>
      </c>
      <c r="J27" s="4">
        <v>1107.8487204863429</v>
      </c>
      <c r="K27" s="4">
        <v>551.34964878901155</v>
      </c>
      <c r="L27" s="4">
        <v>2208.970305779892</v>
      </c>
      <c r="M27" s="4">
        <v>268.67613619753701</v>
      </c>
      <c r="N27" s="4">
        <v>6341.9149222898268</v>
      </c>
      <c r="O27" s="4">
        <v>318.00994715537536</v>
      </c>
      <c r="P27" s="4">
        <v>3385.2641515624409</v>
      </c>
      <c r="Q27" s="4">
        <v>2638.64082357201</v>
      </c>
      <c r="R27" s="4"/>
      <c r="S27" s="4"/>
      <c r="T27" s="4"/>
      <c r="U27" s="4"/>
      <c r="V27" s="4"/>
      <c r="W27" s="33">
        <v>1989.08336677032</v>
      </c>
      <c r="X27" s="33">
        <v>4202.310820499516</v>
      </c>
      <c r="Y27" s="33">
        <v>1001.160970046735</v>
      </c>
      <c r="Z27" s="33">
        <v>934.14164817897495</v>
      </c>
      <c r="AA27" s="33">
        <v>2267.0082022738056</v>
      </c>
      <c r="AB27" s="33">
        <v>412.87781960977202</v>
      </c>
      <c r="AC27" s="33">
        <v>4870.8885927841811</v>
      </c>
      <c r="AD27" s="33">
        <v>94.671467378274954</v>
      </c>
      <c r="AE27" s="33">
        <v>3478.9675901773858</v>
      </c>
      <c r="AF27" s="33">
        <v>1297.2495352285205</v>
      </c>
      <c r="AG27" s="33">
        <v>2401.9611863800901</v>
      </c>
      <c r="AH27" s="33">
        <v>4317.2339651471866</v>
      </c>
      <c r="AI27" s="33">
        <v>845.34271141577483</v>
      </c>
      <c r="AJ27" s="33">
        <v>1371.5767708514459</v>
      </c>
      <c r="AK27" s="33">
        <v>2100.3144828799664</v>
      </c>
    </row>
    <row r="28" spans="1:37" ht="13.5" customHeight="1" x14ac:dyDescent="0.3">
      <c r="A28" s="29" t="s">
        <v>2</v>
      </c>
      <c r="B28" s="31" t="s">
        <v>50</v>
      </c>
      <c r="C28" s="4"/>
      <c r="D28" s="4"/>
      <c r="E28" s="4"/>
      <c r="F28" s="4"/>
      <c r="G28" s="4"/>
      <c r="H28" s="4">
        <v>1800.44325</v>
      </c>
      <c r="I28" s="4">
        <v>3550.4367592082081</v>
      </c>
      <c r="J28" s="4">
        <v>1107.9484091904135</v>
      </c>
      <c r="K28" s="4">
        <v>537.79267921026167</v>
      </c>
      <c r="L28" s="4">
        <v>1904.6956708075331</v>
      </c>
      <c r="M28" s="4">
        <v>486.27030966903197</v>
      </c>
      <c r="N28" s="4">
        <v>6411.983015004691</v>
      </c>
      <c r="O28" s="4">
        <v>141.98210834607431</v>
      </c>
      <c r="P28" s="4">
        <v>3432.5266180097306</v>
      </c>
      <c r="Q28" s="4">
        <v>2837.4742886488875</v>
      </c>
      <c r="R28" s="4"/>
      <c r="S28" s="4"/>
      <c r="T28" s="4"/>
      <c r="U28" s="4"/>
      <c r="V28" s="4"/>
      <c r="W28" s="33">
        <v>2286.71355966903</v>
      </c>
      <c r="X28" s="33">
        <v>4158.9454104359611</v>
      </c>
      <c r="Y28" s="33">
        <v>902.53539178152914</v>
      </c>
      <c r="Z28" s="33">
        <v>1153.3587009699822</v>
      </c>
      <c r="AA28" s="33">
        <v>2103.0513176844497</v>
      </c>
      <c r="AB28" s="33">
        <v>440.52757500000001</v>
      </c>
      <c r="AC28" s="33">
        <v>4851.8619177953387</v>
      </c>
      <c r="AD28" s="33">
        <v>98.634726357354452</v>
      </c>
      <c r="AE28" s="33">
        <v>3518.508291109109</v>
      </c>
      <c r="AF28" s="33">
        <v>1234.7189003288756</v>
      </c>
      <c r="AG28" s="33">
        <v>2727.2411346690301</v>
      </c>
      <c r="AH28" s="33">
        <v>4270.8712774904488</v>
      </c>
      <c r="AI28" s="33">
        <v>772.68240365432598</v>
      </c>
      <c r="AJ28" s="33">
        <v>1535.3981180978983</v>
      </c>
      <c r="AK28" s="33">
        <v>1962.7907557382243</v>
      </c>
    </row>
    <row r="29" spans="1:37" ht="12.75" customHeight="1" x14ac:dyDescent="0.3">
      <c r="A29" s="51" t="s">
        <v>3</v>
      </c>
      <c r="B29" s="51" t="s">
        <v>3</v>
      </c>
      <c r="C29" s="33"/>
      <c r="D29" s="33"/>
      <c r="E29" s="33"/>
      <c r="F29" s="33"/>
      <c r="G29" s="33"/>
      <c r="H29" s="33">
        <v>20102.207945461199</v>
      </c>
      <c r="I29" s="33">
        <v>3516.0642368702784</v>
      </c>
      <c r="J29" s="33">
        <v>616.56908212490316</v>
      </c>
      <c r="K29" s="33">
        <v>839.42980341239797</v>
      </c>
      <c r="L29" s="33">
        <v>2060.0653513329771</v>
      </c>
      <c r="M29" s="33">
        <v>5022.4142756150804</v>
      </c>
      <c r="N29" s="33">
        <v>6238.1496959702436</v>
      </c>
      <c r="O29" s="33">
        <v>111.40126273676296</v>
      </c>
      <c r="P29" s="33">
        <v>3703.6521087438869</v>
      </c>
      <c r="Q29" s="33">
        <v>2423.0963244895938</v>
      </c>
      <c r="R29" s="33">
        <v>109.92715</v>
      </c>
      <c r="S29" s="33">
        <v>7069.8082039148267</v>
      </c>
      <c r="T29" s="33">
        <v>81.890341208897979</v>
      </c>
      <c r="U29" s="33">
        <v>4243.0594032839235</v>
      </c>
      <c r="V29" s="33">
        <v>2744.8584594220056</v>
      </c>
      <c r="W29" s="33">
        <v>25234.5493710763</v>
      </c>
      <c r="X29" s="33">
        <v>4073.3198315143695</v>
      </c>
      <c r="Y29" s="33">
        <v>513.69671695375132</v>
      </c>
      <c r="Z29" s="33">
        <v>1424.3208620702053</v>
      </c>
      <c r="AA29" s="33">
        <v>2135.3022524904127</v>
      </c>
      <c r="AB29" s="33">
        <v>5176.0278624195598</v>
      </c>
      <c r="AC29" s="33">
        <v>4945.6517716177887</v>
      </c>
      <c r="AD29" s="33">
        <v>98.318710485847447</v>
      </c>
      <c r="AE29" s="33">
        <v>3562.6216593579338</v>
      </c>
      <c r="AF29" s="33">
        <v>1284.7114017740068</v>
      </c>
      <c r="AG29" s="33">
        <v>30410.5772334959</v>
      </c>
      <c r="AH29" s="33">
        <v>4221.7949621436073</v>
      </c>
      <c r="AI29" s="33">
        <v>442.99736394883604</v>
      </c>
      <c r="AJ29" s="33">
        <v>1788.2700373855776</v>
      </c>
      <c r="AK29" s="33">
        <v>1990.5275608091931</v>
      </c>
    </row>
    <row r="30" spans="1:37" ht="13.5" customHeight="1" x14ac:dyDescent="0.3">
      <c r="A30" s="29" t="s">
        <v>4</v>
      </c>
      <c r="B30" s="31" t="s">
        <v>185</v>
      </c>
      <c r="C30" s="4"/>
      <c r="D30" s="4"/>
      <c r="E30" s="4"/>
      <c r="F30" s="4"/>
      <c r="G30" s="4"/>
      <c r="H30" s="4">
        <v>4315.5083000000004</v>
      </c>
      <c r="I30" s="4">
        <v>4455.5460958051535</v>
      </c>
      <c r="J30" s="4">
        <v>1429.2458881704131</v>
      </c>
      <c r="K30" s="4">
        <v>858.42170763132742</v>
      </c>
      <c r="L30" s="4">
        <v>2167.8785000034127</v>
      </c>
      <c r="M30" s="4">
        <v>1822.9177101118601</v>
      </c>
      <c r="N30" s="4">
        <v>6247.0799482352486</v>
      </c>
      <c r="O30" s="4">
        <v>352.52635541848713</v>
      </c>
      <c r="P30" s="4">
        <v>3229.1394039192346</v>
      </c>
      <c r="Q30" s="4">
        <v>2665.4141888975264</v>
      </c>
      <c r="R30" s="4"/>
      <c r="S30" s="4"/>
      <c r="T30" s="4"/>
      <c r="U30" s="4"/>
      <c r="V30" s="4"/>
      <c r="W30" s="33">
        <v>6138.4260101118498</v>
      </c>
      <c r="X30" s="33">
        <v>4987.5747921647653</v>
      </c>
      <c r="Y30" s="33">
        <v>1109.4943587321552</v>
      </c>
      <c r="Z30" s="33">
        <v>1562.4496240906574</v>
      </c>
      <c r="AA30" s="33">
        <v>2315.6308093419525</v>
      </c>
      <c r="AB30" s="33">
        <v>1101.3238328104801</v>
      </c>
      <c r="AC30" s="33">
        <v>3641.2979446185554</v>
      </c>
      <c r="AD30" s="33">
        <v>67.79872975644534</v>
      </c>
      <c r="AE30" s="33">
        <v>2514.927728290701</v>
      </c>
      <c r="AF30" s="33">
        <v>1058.5714865714092</v>
      </c>
      <c r="AG30" s="33">
        <v>7239.7498429223397</v>
      </c>
      <c r="AH30" s="33">
        <v>4782.776724561214</v>
      </c>
      <c r="AI30" s="33">
        <v>951.02973666416847</v>
      </c>
      <c r="AJ30" s="33">
        <v>1707.342315018529</v>
      </c>
      <c r="AK30" s="33">
        <v>2124.404672878517</v>
      </c>
    </row>
    <row r="31" spans="1:37" ht="13.5" customHeight="1" x14ac:dyDescent="0.3">
      <c r="A31" s="29" t="s">
        <v>4</v>
      </c>
      <c r="B31" s="31" t="s">
        <v>187</v>
      </c>
      <c r="C31" s="4"/>
      <c r="D31" s="4"/>
      <c r="E31" s="4"/>
      <c r="F31" s="4"/>
      <c r="G31" s="4"/>
      <c r="H31" s="4">
        <v>2194.3996144774501</v>
      </c>
      <c r="I31" s="4">
        <v>5284.0388025465363</v>
      </c>
      <c r="J31" s="4">
        <v>1611.7719702896695</v>
      </c>
      <c r="K31" s="4">
        <v>1372.2153812022821</v>
      </c>
      <c r="L31" s="4">
        <v>2300.0514510545854</v>
      </c>
      <c r="M31" s="4">
        <v>3746.3957269165699</v>
      </c>
      <c r="N31" s="4">
        <v>6150.4931978130016</v>
      </c>
      <c r="O31" s="4">
        <v>115.6383899049038</v>
      </c>
      <c r="P31" s="4">
        <v>3441.4869697951285</v>
      </c>
      <c r="Q31" s="4">
        <v>2593.3678381129694</v>
      </c>
      <c r="R31" s="4"/>
      <c r="S31" s="4"/>
      <c r="T31" s="4"/>
      <c r="U31" s="4"/>
      <c r="V31" s="4"/>
      <c r="W31" s="33">
        <v>5940.7953413940104</v>
      </c>
      <c r="X31" s="33">
        <v>5830.4439313979647</v>
      </c>
      <c r="Y31" s="33">
        <v>668.27734872025758</v>
      </c>
      <c r="Z31" s="33">
        <v>2677.1433903053544</v>
      </c>
      <c r="AA31" s="33">
        <v>2485.0231923723532</v>
      </c>
      <c r="AB31" s="33">
        <v>402.68780541538001</v>
      </c>
      <c r="AC31" s="33">
        <v>1020.0386295414129</v>
      </c>
      <c r="AD31" s="33">
        <v>6.0908225829547256E-5</v>
      </c>
      <c r="AE31" s="33">
        <v>329.05919559416458</v>
      </c>
      <c r="AF31" s="33">
        <v>690.97937303902245</v>
      </c>
      <c r="AG31" s="33">
        <v>6343.4831468093998</v>
      </c>
      <c r="AH31" s="33">
        <v>5525.0767523052882</v>
      </c>
      <c r="AI31" s="33">
        <v>625.85473826951136</v>
      </c>
      <c r="AJ31" s="33">
        <v>2528.0857118319159</v>
      </c>
      <c r="AK31" s="33">
        <v>2371.1363022038609</v>
      </c>
    </row>
    <row r="32" spans="1:37" ht="12.75" customHeight="1" x14ac:dyDescent="0.3">
      <c r="A32" s="29" t="s">
        <v>4</v>
      </c>
      <c r="B32" s="31" t="s">
        <v>188</v>
      </c>
      <c r="C32" s="4"/>
      <c r="D32" s="4"/>
      <c r="E32" s="4"/>
      <c r="F32" s="4"/>
      <c r="G32" s="4"/>
      <c r="H32" s="4">
        <v>2015.71234057478</v>
      </c>
      <c r="I32" s="4">
        <v>5376.9269546403802</v>
      </c>
      <c r="J32" s="4">
        <v>2005.7104621290262</v>
      </c>
      <c r="K32" s="4">
        <v>1209.8827334485816</v>
      </c>
      <c r="L32" s="4">
        <v>2161.3337590627721</v>
      </c>
      <c r="M32" s="4">
        <v>3872.6748663135199</v>
      </c>
      <c r="N32" s="4">
        <v>5122.272532104862</v>
      </c>
      <c r="O32" s="4">
        <v>99.06924398734435</v>
      </c>
      <c r="P32" s="4">
        <v>2536.8021363854209</v>
      </c>
      <c r="Q32" s="4">
        <v>2486.4011517320964</v>
      </c>
      <c r="R32" s="4"/>
      <c r="S32" s="4"/>
      <c r="T32" s="4"/>
      <c r="U32" s="4"/>
      <c r="V32" s="4"/>
      <c r="W32" s="33">
        <v>5888.3872068882902</v>
      </c>
      <c r="X32" s="33">
        <v>5209.4458181085938</v>
      </c>
      <c r="Y32" s="33">
        <v>751.75054659612204</v>
      </c>
      <c r="Z32" s="33">
        <v>2082.5711693187463</v>
      </c>
      <c r="AA32" s="33">
        <v>2375.1241021937244</v>
      </c>
      <c r="AB32" s="33">
        <v>705.56947554494104</v>
      </c>
      <c r="AC32" s="33">
        <v>4634.1662732187751</v>
      </c>
      <c r="AD32" s="33">
        <v>89.68240185649374</v>
      </c>
      <c r="AE32" s="33">
        <v>3295.6639673515956</v>
      </c>
      <c r="AF32" s="33">
        <v>1248.8199040106858</v>
      </c>
      <c r="AG32" s="33">
        <v>6593.9566824332296</v>
      </c>
      <c r="AH32" s="33">
        <v>5147.8895012676003</v>
      </c>
      <c r="AI32" s="33">
        <v>680.90763752706005</v>
      </c>
      <c r="AJ32" s="33">
        <v>2212.3750625677908</v>
      </c>
      <c r="AK32" s="33">
        <v>2254.6068011727502</v>
      </c>
    </row>
    <row r="33" spans="1:37" ht="13.5" customHeight="1" x14ac:dyDescent="0.3">
      <c r="A33" s="29" t="s">
        <v>4</v>
      </c>
      <c r="B33" s="31" t="s">
        <v>189</v>
      </c>
      <c r="C33" s="4"/>
      <c r="D33" s="4"/>
      <c r="E33" s="4"/>
      <c r="F33" s="4"/>
      <c r="G33" s="4"/>
      <c r="H33" s="4">
        <v>201.91892686667401</v>
      </c>
      <c r="I33" s="4">
        <v>6653.6674076523086</v>
      </c>
      <c r="J33" s="4">
        <v>2623.7088895425572</v>
      </c>
      <c r="K33" s="4">
        <v>1553.6571991329356</v>
      </c>
      <c r="L33" s="4">
        <v>2476.3013189768158</v>
      </c>
      <c r="M33" s="4">
        <v>4054.2973000000002</v>
      </c>
      <c r="N33" s="4">
        <v>5182.9922374541111</v>
      </c>
      <c r="O33" s="4">
        <v>406.97204519703706</v>
      </c>
      <c r="P33" s="4">
        <v>2345.9708062298837</v>
      </c>
      <c r="Q33" s="4">
        <v>2430.0493860271904</v>
      </c>
      <c r="R33" s="4"/>
      <c r="S33" s="4"/>
      <c r="T33" s="4"/>
      <c r="U33" s="4"/>
      <c r="V33" s="4"/>
      <c r="W33" s="33">
        <v>4256.2162268666698</v>
      </c>
      <c r="X33" s="33">
        <v>5252.7624597142931</v>
      </c>
      <c r="Y33" s="33">
        <v>512.13613952350829</v>
      </c>
      <c r="Z33" s="33">
        <v>2308.3826986809745</v>
      </c>
      <c r="AA33" s="33">
        <v>2432.2436215098114</v>
      </c>
      <c r="AB33" s="33">
        <v>1294.3499985572</v>
      </c>
      <c r="AC33" s="33">
        <v>5789.3255293411012</v>
      </c>
      <c r="AD33" s="33">
        <v>120.67526122938851</v>
      </c>
      <c r="AE33" s="33">
        <v>4272.8145117417016</v>
      </c>
      <c r="AF33" s="33">
        <v>1395.8357563700122</v>
      </c>
      <c r="AG33" s="33">
        <v>5550.5662254238696</v>
      </c>
      <c r="AH33" s="33">
        <v>5377.8849031176733</v>
      </c>
      <c r="AI33" s="33">
        <v>420.85042799837436</v>
      </c>
      <c r="AJ33" s="33">
        <v>2766.4733170316631</v>
      </c>
      <c r="AK33" s="33">
        <v>2190.5611580876352</v>
      </c>
    </row>
    <row r="34" spans="1:37" ht="12.75" customHeight="1" x14ac:dyDescent="0.3">
      <c r="A34" s="51" t="s">
        <v>5</v>
      </c>
      <c r="B34" s="51" t="s">
        <v>5</v>
      </c>
      <c r="C34" s="33"/>
      <c r="D34" s="33"/>
      <c r="E34" s="33"/>
      <c r="F34" s="33"/>
      <c r="G34" s="33"/>
      <c r="H34" s="33">
        <v>8727.5391819189008</v>
      </c>
      <c r="I34" s="33">
        <v>4927.5147749878124</v>
      </c>
      <c r="J34" s="33">
        <v>1635.9142937414742</v>
      </c>
      <c r="K34" s="33">
        <v>1084.8651677344847</v>
      </c>
      <c r="L34" s="33">
        <v>2206.7353135118533</v>
      </c>
      <c r="M34" s="33">
        <v>13496.285603341899</v>
      </c>
      <c r="N34" s="33">
        <v>5577.8592606190568</v>
      </c>
      <c r="O34" s="33">
        <v>230.39689830238274</v>
      </c>
      <c r="P34" s="33">
        <v>2824.1178044004041</v>
      </c>
      <c r="Q34" s="33">
        <v>2523.3445579162694</v>
      </c>
      <c r="R34" s="33"/>
      <c r="S34" s="33"/>
      <c r="T34" s="33"/>
      <c r="U34" s="33"/>
      <c r="V34" s="33"/>
      <c r="W34" s="33">
        <v>22223.8247852608</v>
      </c>
      <c r="X34" s="33">
        <v>5322.4618645841529</v>
      </c>
      <c r="Y34" s="33">
        <v>782.35895965280918</v>
      </c>
      <c r="Z34" s="33">
        <v>2141.0942618540844</v>
      </c>
      <c r="AA34" s="33">
        <v>2399.008643077259</v>
      </c>
      <c r="AB34" s="33">
        <v>3503.9311123279999</v>
      </c>
      <c r="AC34" s="33">
        <v>4333.4599330595056</v>
      </c>
      <c r="AD34" s="33">
        <v>83.946162596863701</v>
      </c>
      <c r="AE34" s="33">
        <v>3070.2930450208164</v>
      </c>
      <c r="AF34" s="33">
        <v>1179.2207254418256</v>
      </c>
      <c r="AG34" s="33">
        <v>25727.755897588799</v>
      </c>
      <c r="AH34" s="33">
        <v>5187.7670761301597</v>
      </c>
      <c r="AI34" s="33">
        <v>687.24027388038621</v>
      </c>
      <c r="AJ34" s="33">
        <v>2267.644301384752</v>
      </c>
      <c r="AK34" s="33">
        <v>2232.882500865021</v>
      </c>
    </row>
    <row r="35" spans="1:37" ht="13.5" customHeight="1" x14ac:dyDescent="0.3">
      <c r="A35" s="31" t="s">
        <v>6</v>
      </c>
      <c r="B35" s="31" t="s">
        <v>186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v>4459.3280999999997</v>
      </c>
      <c r="N35" s="4">
        <v>6064.9473975610863</v>
      </c>
      <c r="O35" s="4">
        <v>828.5787851463906</v>
      </c>
      <c r="P35" s="4">
        <v>2812.8958080237358</v>
      </c>
      <c r="Q35" s="4">
        <v>2423.4728043909595</v>
      </c>
      <c r="R35" s="4"/>
      <c r="S35" s="4"/>
      <c r="T35" s="4"/>
      <c r="U35" s="4"/>
      <c r="V35" s="4"/>
      <c r="W35" s="33">
        <v>4459.3280999999997</v>
      </c>
      <c r="X35" s="33">
        <v>6064.9473975610863</v>
      </c>
      <c r="Y35" s="33">
        <v>828.5787851463906</v>
      </c>
      <c r="Z35" s="33">
        <v>2812.8958080237358</v>
      </c>
      <c r="AA35" s="33">
        <v>2423.4728043909595</v>
      </c>
      <c r="AB35" s="33">
        <v>775.75217081230801</v>
      </c>
      <c r="AC35" s="33">
        <v>4280.7866430004506</v>
      </c>
      <c r="AD35" s="33">
        <v>83.385831185669119</v>
      </c>
      <c r="AE35" s="33">
        <v>3036.3431723325466</v>
      </c>
      <c r="AF35" s="33">
        <v>1161.0576394822351</v>
      </c>
      <c r="AG35" s="33">
        <v>5235.0802708123101</v>
      </c>
      <c r="AH35" s="33">
        <v>5800.5643304770392</v>
      </c>
      <c r="AI35" s="33">
        <v>718.15353437571503</v>
      </c>
      <c r="AJ35" s="33">
        <v>2846.0070057433363</v>
      </c>
      <c r="AK35" s="33">
        <v>2236.4037903579879</v>
      </c>
    </row>
  </sheetData>
  <phoneticPr fontId="14" type="noConversion"/>
  <pageMargins left="1" right="1" top="1" bottom="1" header="0.3" footer="0.3"/>
  <pageSetup orientation="portrait"/>
  <headerFooter>
    <oddHeader>&amp;R&amp;"Arial"&amp;8&amp;K000000 [OFFICIAL]&amp;1#_x000D_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dbf5ca-fc79-48f1-b320-8cb35a436b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0450832216641AEDB94BB54CD9BDB" ma:contentTypeVersion="16" ma:contentTypeDescription="Create a new document." ma:contentTypeScope="" ma:versionID="1f9e1e0adf90d7a6b6cc412ae140523e">
  <xsd:schema xmlns:xsd="http://www.w3.org/2001/XMLSchema" xmlns:xs="http://www.w3.org/2001/XMLSchema" xmlns:p="http://schemas.microsoft.com/office/2006/metadata/properties" xmlns:ns3="8ddbf5ca-fc79-48f1-b320-8cb35a436b7c" xmlns:ns4="409f85f6-ee02-44c1-8655-becc3c425463" targetNamespace="http://schemas.microsoft.com/office/2006/metadata/properties" ma:root="true" ma:fieldsID="0d8ee2c7aeaecb2db4535ec2c35f276e" ns3:_="" ns4:_="">
    <xsd:import namespace="8ddbf5ca-fc79-48f1-b320-8cb35a436b7c"/>
    <xsd:import namespace="409f85f6-ee02-44c1-8655-becc3c4254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bf5ca-fc79-48f1-b320-8cb35a436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f85f6-ee02-44c1-8655-becc3c4254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EAE19-2DEE-41D1-8903-534058CA7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0308F5-DBE8-4D51-8E45-CE11E4AFFE5E}">
  <ds:schemaRefs>
    <ds:schemaRef ds:uri="8ddbf5ca-fc79-48f1-b320-8cb35a436b7c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09f85f6-ee02-44c1-8655-becc3c42546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3BE59C3-2720-43D4-9ABC-E12E4F5BE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dbf5ca-fc79-48f1-b320-8cb35a436b7c"/>
    <ds:schemaRef ds:uri="409f85f6-ee02-44c1-8655-becc3c425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Planta</vt:lpstr>
      <vt:lpstr>Data Tecnica</vt:lpstr>
      <vt:lpstr>KPI-Palas</vt:lpstr>
      <vt:lpstr>KPI-Camiones</vt:lpstr>
      <vt:lpstr>Pala-Fase</vt:lpstr>
      <vt:lpstr>Fase-Banco</vt:lpstr>
      <vt:lpstr>KPI-Perfos</vt:lpstr>
      <vt:lpstr>KPI-Servicios</vt:lpstr>
      <vt:lpstr>Envios Desglosados por Fases</vt:lpstr>
      <vt:lpstr>Distancias Por Tramos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Moscoso G, Ignacio A.</dc:creator>
  <cp:lastModifiedBy>Galleguillos Urrutia, Claudio Andrés</cp:lastModifiedBy>
  <dcterms:created xsi:type="dcterms:W3CDTF">2025-07-02T00:05:09Z</dcterms:created>
  <dcterms:modified xsi:type="dcterms:W3CDTF">2026-01-05T20:41:54Z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18.1.7.19018</vt:lpwstr>
  </property>
  <property fmtid="{D5CDD505-2E9C-101B-9397-08002B2CF9AE}" pid="3" name="ContentTypeId">
    <vt:lpwstr>0x01010013F0450832216641AEDB94BB54CD9BDB</vt:lpwstr>
  </property>
  <property fmtid="{D5CDD505-2E9C-101B-9397-08002B2CF9AE}" pid="4" name="MSIP_Label_e3f2a5e4-10d8-4dfe-8082-7352c27520cb_Enabled">
    <vt:lpwstr>true</vt:lpwstr>
  </property>
  <property fmtid="{D5CDD505-2E9C-101B-9397-08002B2CF9AE}" pid="5" name="MSIP_Label_e3f2a5e4-10d8-4dfe-8082-7352c27520cb_SetDate">
    <vt:lpwstr>2025-12-15T00:51:34Z</vt:lpwstr>
  </property>
  <property fmtid="{D5CDD505-2E9C-101B-9397-08002B2CF9AE}" pid="6" name="MSIP_Label_e3f2a5e4-10d8-4dfe-8082-7352c27520cb_Method">
    <vt:lpwstr>Privileged</vt:lpwstr>
  </property>
  <property fmtid="{D5CDD505-2E9C-101B-9397-08002B2CF9AE}" pid="7" name="MSIP_Label_e3f2a5e4-10d8-4dfe-8082-7352c27520cb_Name">
    <vt:lpwstr>_Official</vt:lpwstr>
  </property>
  <property fmtid="{D5CDD505-2E9C-101B-9397-08002B2CF9AE}" pid="8" name="MSIP_Label_e3f2a5e4-10d8-4dfe-8082-7352c27520cb_SiteId">
    <vt:lpwstr>2864f69d-77c3-4fbe-bbc0-97502052391a</vt:lpwstr>
  </property>
  <property fmtid="{D5CDD505-2E9C-101B-9397-08002B2CF9AE}" pid="9" name="MSIP_Label_e3f2a5e4-10d8-4dfe-8082-7352c27520cb_ActionId">
    <vt:lpwstr>05de1ed9-3c0e-4869-81ae-d6ef5a6a7584</vt:lpwstr>
  </property>
  <property fmtid="{D5CDD505-2E9C-101B-9397-08002B2CF9AE}" pid="10" name="MSIP_Label_e3f2a5e4-10d8-4dfe-8082-7352c27520cb_ContentBits">
    <vt:lpwstr>1</vt:lpwstr>
  </property>
  <property fmtid="{D5CDD505-2E9C-101B-9397-08002B2CF9AE}" pid="11" name="MSIP_Label_e3f2a5e4-10d8-4dfe-8082-7352c27520cb_Tag">
    <vt:lpwstr>10, 0, 1, 1</vt:lpwstr>
  </property>
</Properties>
</file>